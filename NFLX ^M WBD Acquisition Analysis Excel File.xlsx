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E69751B0-7119-4160-918A-6FB7679F275F}" xr6:coauthVersionLast="47" xr6:coauthVersionMax="47" xr10:uidLastSave="{00000000-0000-0000-0000-000000000000}"/>
  <bookViews>
    <workbookView xWindow="-120" yWindow="-120" windowWidth="29040" windowHeight="15720" activeTab="6" xr2:uid="{5FB6ADB1-B13F-47EF-AEA6-3566EB9F099F}"/>
  </bookViews>
  <sheets>
    <sheet name="WBD BS" sheetId="2" r:id="rId1"/>
    <sheet name="WBD CFS" sheetId="4" r:id="rId2"/>
    <sheet name="NFLX CFS" sheetId="8" r:id="rId3"/>
    <sheet name="WBD IS" sheetId="3" r:id="rId4"/>
    <sheet name="NFLX IS" sheetId="6" r:id="rId5"/>
    <sheet name="Segment Info " sheetId="5" r:id="rId6"/>
    <sheet name="IS Analysis " sheetId="9" r:id="rId7"/>
    <sheet name="BS Analysis " sheetId="11" r:id="rId8"/>
    <sheet name="Ratio Analysis " sheetId="10" r:id="rId9"/>
  </sheets>
  <definedNames>
    <definedName name="_xlnm._FilterDatabase" localSheetId="7" hidden="1">'BS Analysis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0" l="1"/>
  <c r="H23" i="10"/>
  <c r="H22" i="10"/>
  <c r="H21" i="10"/>
  <c r="H16" i="10"/>
  <c r="H13" i="10"/>
  <c r="G23" i="10"/>
  <c r="G22" i="10"/>
  <c r="G21" i="10"/>
  <c r="G16" i="10"/>
  <c r="G14" i="10"/>
  <c r="D31" i="10"/>
  <c r="D30" i="10"/>
  <c r="D29" i="10"/>
  <c r="D28" i="10"/>
  <c r="D27" i="10"/>
  <c r="D26" i="10"/>
  <c r="D25" i="10"/>
  <c r="D13" i="10"/>
  <c r="D7" i="10"/>
  <c r="C31" i="10"/>
  <c r="C30" i="10"/>
  <c r="C29" i="10"/>
  <c r="C28" i="10"/>
  <c r="C27" i="10"/>
  <c r="C26" i="10"/>
  <c r="C25" i="10"/>
  <c r="C13" i="10"/>
  <c r="C7" i="10"/>
  <c r="C60" i="11"/>
  <c r="C59" i="11"/>
  <c r="C58" i="11"/>
  <c r="C57" i="11"/>
  <c r="F54" i="11"/>
  <c r="E54" i="11"/>
  <c r="D54" i="11"/>
  <c r="C53" i="11"/>
  <c r="C52" i="11"/>
  <c r="C51" i="11"/>
  <c r="C49" i="11"/>
  <c r="C48" i="11"/>
  <c r="C47" i="11"/>
  <c r="B47" i="11"/>
  <c r="C46" i="11"/>
  <c r="B46" i="11"/>
  <c r="C43" i="11"/>
  <c r="C42" i="11"/>
  <c r="C41" i="11"/>
  <c r="C39" i="11"/>
  <c r="B39" i="11"/>
  <c r="C38" i="11"/>
  <c r="C37" i="11"/>
  <c r="C36" i="11"/>
  <c r="C35" i="11"/>
  <c r="C44" i="11" s="1"/>
  <c r="C54" i="11" s="1"/>
  <c r="F33" i="11"/>
  <c r="E33" i="11"/>
  <c r="D33" i="11"/>
  <c r="C32" i="11"/>
  <c r="C29" i="11"/>
  <c r="C28" i="11"/>
  <c r="C27" i="11"/>
  <c r="B27" i="11"/>
  <c r="C26" i="11"/>
  <c r="B26" i="11"/>
  <c r="C24" i="11"/>
  <c r="C22" i="11"/>
  <c r="C21" i="11"/>
  <c r="C23" i="11" s="1"/>
  <c r="C25" i="11" s="1"/>
  <c r="B21" i="11"/>
  <c r="C17" i="11"/>
  <c r="C16" i="11"/>
  <c r="C18" i="11" s="1"/>
  <c r="C15" i="11"/>
  <c r="O13" i="11"/>
  <c r="C13" i="11"/>
  <c r="J12" i="11"/>
  <c r="C12" i="11"/>
  <c r="C11" i="11"/>
  <c r="C10" i="11"/>
  <c r="C9" i="11"/>
  <c r="H46" i="10"/>
  <c r="H45" i="10"/>
  <c r="G45" i="10"/>
  <c r="H41" i="10"/>
  <c r="G41" i="10"/>
  <c r="C30" i="11" l="1"/>
  <c r="C33" i="11"/>
  <c r="C61" i="11" s="1"/>
  <c r="C62" i="11" s="1"/>
  <c r="C63" i="11" s="1"/>
  <c r="C3" i="10" a="1"/>
  <c r="C3" i="10" s="1"/>
  <c r="C32" i="10"/>
  <c r="D22" i="10"/>
  <c r="D21" i="10"/>
  <c r="C21" i="10"/>
  <c r="D20" i="10"/>
  <c r="B51" i="9" a="1"/>
  <c r="B51" i="9" s="1"/>
  <c r="D32" i="10" l="1"/>
  <c r="D34" i="10" s="1"/>
  <c r="D28" i="9" l="1"/>
  <c r="K46" i="9" s="1"/>
  <c r="K45" i="9" s="1"/>
  <c r="D27" i="9"/>
  <c r="D26" i="9"/>
  <c r="K41" i="9" s="1"/>
  <c r="K40" i="9" s="1"/>
  <c r="D25" i="9"/>
  <c r="K38" i="9" s="1"/>
  <c r="K37" i="9" s="1"/>
  <c r="D24" i="9"/>
  <c r="K36" i="9" s="1"/>
  <c r="K35" i="9" s="1"/>
  <c r="D23" i="9"/>
  <c r="K32" i="9" s="1"/>
  <c r="D22" i="9"/>
  <c r="K30" i="9" s="1"/>
  <c r="E18" i="9"/>
  <c r="E17" i="9"/>
  <c r="E16" i="9"/>
  <c r="E15" i="9"/>
  <c r="E14" i="9"/>
  <c r="K43" i="9"/>
  <c r="K42" i="9" s="1"/>
  <c r="K39" i="9"/>
  <c r="S42" i="9"/>
  <c r="P40" i="9" s="1"/>
  <c r="V33" i="9"/>
  <c r="H15" i="10" l="1"/>
  <c r="H50" i="10" s="1"/>
  <c r="H51" i="10" l="1"/>
  <c r="H52" i="10" s="1"/>
  <c r="H24" i="10"/>
  <c r="H25" i="10" s="1"/>
  <c r="G13" i="10"/>
  <c r="G15" i="10" s="1"/>
  <c r="G50" i="10" s="1"/>
  <c r="H18" i="10"/>
  <c r="H17" i="10"/>
  <c r="H53" i="10" l="1"/>
  <c r="H55" i="10" s="1"/>
  <c r="H58" i="10" s="1"/>
  <c r="G51" i="10"/>
  <c r="G52" i="10" s="1"/>
  <c r="G53" i="10"/>
  <c r="O25" i="9"/>
  <c r="O24" i="9"/>
  <c r="Q25" i="9"/>
  <c r="Q24" i="9"/>
  <c r="H33" i="10" s="1"/>
  <c r="C8" i="9"/>
  <c r="C7" i="9"/>
  <c r="C6" i="9"/>
  <c r="H11" i="10"/>
  <c r="G11" i="10"/>
  <c r="P39" i="9" l="1"/>
  <c r="P44" i="9"/>
  <c r="P42" i="9"/>
  <c r="V20" i="9"/>
  <c r="R24" i="9"/>
  <c r="V21" i="9" s="1"/>
  <c r="R25" i="9"/>
  <c r="Q33" i="9"/>
  <c r="Q30" i="9"/>
  <c r="Q19" i="9"/>
  <c r="P19" i="9" s="1"/>
  <c r="Q18" i="9"/>
  <c r="Q16" i="9"/>
  <c r="Q15" i="9"/>
  <c r="O19" i="9"/>
  <c r="O18" i="9"/>
  <c r="O16" i="9"/>
  <c r="R36" i="9"/>
  <c r="R35" i="9"/>
  <c r="R34" i="9"/>
  <c r="R33" i="9"/>
  <c r="O35" i="9"/>
  <c r="O34" i="9"/>
  <c r="O33" i="9"/>
  <c r="O30" i="9"/>
  <c r="R29" i="9"/>
  <c r="R28" i="9"/>
  <c r="R27" i="9"/>
  <c r="O29" i="9"/>
  <c r="O28" i="9"/>
  <c r="O27" i="9"/>
  <c r="O22" i="9"/>
  <c r="O20" i="9"/>
  <c r="R20" i="9"/>
  <c r="P20" i="9" s="1"/>
  <c r="K31" i="9"/>
  <c r="R18" i="9" s="1"/>
  <c r="L32" i="9"/>
  <c r="K29" i="9"/>
  <c r="L30" i="9"/>
  <c r="C9" i="9"/>
  <c r="M26" i="9"/>
  <c r="L26" i="9"/>
  <c r="M19" i="9"/>
  <c r="L19" i="9"/>
  <c r="K19" i="9" s="1"/>
  <c r="V29" i="5"/>
  <c r="V27" i="5"/>
  <c r="V26" i="5"/>
  <c r="V25" i="5"/>
  <c r="V24" i="5"/>
  <c r="V23" i="5"/>
  <c r="U29" i="5"/>
  <c r="U28" i="5"/>
  <c r="V28" i="5"/>
  <c r="U27" i="5"/>
  <c r="T27" i="5"/>
  <c r="T28" i="5"/>
  <c r="U26" i="5"/>
  <c r="T29" i="5"/>
  <c r="T26" i="5"/>
  <c r="T25" i="5"/>
  <c r="U25" i="5"/>
  <c r="U24" i="5"/>
  <c r="T24" i="5"/>
  <c r="U23" i="5"/>
  <c r="T23" i="5"/>
  <c r="V20" i="5"/>
  <c r="T22" i="5"/>
  <c r="U20" i="5"/>
  <c r="T20" i="5"/>
  <c r="V19" i="5"/>
  <c r="U19" i="5"/>
  <c r="T19" i="5"/>
  <c r="V16" i="5"/>
  <c r="U16" i="5"/>
  <c r="V15" i="5"/>
  <c r="U15" i="5"/>
  <c r="T15" i="5"/>
  <c r="V14" i="5"/>
  <c r="U14" i="5"/>
  <c r="T14" i="5"/>
  <c r="V13" i="5"/>
  <c r="U13" i="5"/>
  <c r="T13" i="5"/>
  <c r="V12" i="5"/>
  <c r="U12" i="5"/>
  <c r="T12" i="5"/>
  <c r="V10" i="5"/>
  <c r="U10" i="5"/>
  <c r="V9" i="5"/>
  <c r="U9" i="5"/>
  <c r="T9" i="5"/>
  <c r="V8" i="5"/>
  <c r="U8" i="5"/>
  <c r="T8" i="5"/>
  <c r="V7" i="5"/>
  <c r="U7" i="5"/>
  <c r="T7" i="5"/>
  <c r="V6" i="5"/>
  <c r="U6" i="5"/>
  <c r="T6" i="5"/>
  <c r="T5" i="5"/>
  <c r="R16" i="9" l="1"/>
  <c r="P16" i="9" s="1"/>
  <c r="V18" i="5"/>
  <c r="V22" i="5" s="1"/>
  <c r="V30" i="5" s="1"/>
  <c r="U18" i="5"/>
  <c r="U22" i="5" s="1"/>
  <c r="U30" i="5" s="1"/>
  <c r="Q17" i="9"/>
  <c r="Q22" i="9" s="1"/>
  <c r="V22" i="9"/>
  <c r="V34" i="9" s="1"/>
  <c r="P28" i="9"/>
  <c r="P29" i="9"/>
  <c r="V27" i="9"/>
  <c r="V29" i="9" s="1"/>
  <c r="P25" i="9"/>
  <c r="R30" i="9"/>
  <c r="P18" i="9"/>
  <c r="C10" i="9"/>
  <c r="L28" i="9"/>
  <c r="M28" i="9"/>
  <c r="K26" i="9" l="1"/>
  <c r="K28" i="9" s="1"/>
  <c r="K34" i="9" s="1"/>
  <c r="K47" i="9" s="1"/>
  <c r="F10" i="9"/>
  <c r="H6" i="10"/>
  <c r="H7" i="10"/>
  <c r="H28" i="10"/>
  <c r="H29" i="10" s="1"/>
  <c r="H32" i="10"/>
  <c r="H34" i="10" s="1"/>
  <c r="Q36" i="9"/>
  <c r="D10" i="10"/>
  <c r="D11" i="10" s="1"/>
  <c r="V40" i="9"/>
  <c r="R21" i="9" l="1"/>
  <c r="P21" i="9" s="1"/>
  <c r="V37" i="9"/>
  <c r="V42" i="9" s="1"/>
  <c r="P24" i="9" s="1"/>
  <c r="G44" i="10" s="1"/>
  <c r="G46" i="10" s="1"/>
  <c r="G55" i="10" s="1"/>
  <c r="P41" i="9"/>
  <c r="P43" i="9" s="1"/>
  <c r="P45" i="9" s="1"/>
  <c r="P33" i="9" s="1"/>
  <c r="R15" i="9"/>
  <c r="P15" i="9" s="1"/>
  <c r="P17" i="9" s="1"/>
  <c r="G24" i="10"/>
  <c r="D6" i="10"/>
  <c r="D8" i="10" s="1"/>
  <c r="H8" i="10"/>
  <c r="G33" i="10" l="1"/>
  <c r="P30" i="9"/>
  <c r="R22" i="9"/>
  <c r="G17" i="10"/>
  <c r="G18" i="10"/>
  <c r="G25" i="10"/>
  <c r="D14" i="10"/>
  <c r="G6" i="10"/>
  <c r="P22" i="9"/>
  <c r="C20" i="10" s="1"/>
  <c r="C22" i="10" s="1"/>
  <c r="C34" i="10" s="1"/>
  <c r="G58" i="10" s="1"/>
  <c r="G7" i="10" l="1"/>
  <c r="G28" i="10"/>
  <c r="G29" i="10" s="1"/>
  <c r="G32" i="10"/>
  <c r="G34" i="10" s="1"/>
  <c r="C10" i="10"/>
  <c r="C11" i="10" s="1"/>
  <c r="P36" i="9"/>
  <c r="C6" i="10" l="1"/>
  <c r="G8" i="10"/>
  <c r="C8" i="10" l="1"/>
  <c r="C1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Montoya</author>
  </authors>
  <commentList>
    <comment ref="V33" authorId="0" shapeId="0" xr:uid="{0151FE6D-ED6B-452C-B237-A25C676038AE}">
      <text>
        <r>
          <rPr>
            <b/>
            <sz val="9"/>
            <color indexed="81"/>
            <rFont val="Tahoma"/>
            <family val="2"/>
          </rPr>
          <t xml:space="preserve">Bruno Montoya:Used the higher of interest on debt and cost of debt calculation 
</t>
        </r>
      </text>
    </comment>
    <comment ref="V39" authorId="0" shapeId="0" xr:uid="{DAB1B839-CB40-4528-AD5E-38C73F11D653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50B + the 11.7B--&gt; it is now an all cash deal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Montoya</author>
  </authors>
  <commentList>
    <comment ref="O6" authorId="0" shapeId="0" xr:uid="{E7D28968-C330-4E1B-B69E-746B92FB3F75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Updated: All-cash deal. Original $50B + $11.7B (formerly equity issuance) = $61.7B total acquisition debt.</t>
        </r>
      </text>
    </comment>
    <comment ref="C8" authorId="0" shapeId="0" xr:uid="{27729CBB-7250-4483-AAD6-7804CB4A457A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10.3B of cash on hand is used 
</t>
        </r>
      </text>
    </comment>
    <comment ref="J8" authorId="0" shapeId="0" xr:uid="{2A180A63-3BEF-43C7-A64E-367FCCBD88D6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Adjusted from $35,000 to $33,008.9 to balance the pro forma BS. Goodwill = Equity Value ($72,000) − Net Identifiable Assets ($49,691) − Bargain correction ($1,991.1). This makes equity components tie to Total Equity.</t>
        </r>
      </text>
    </comment>
    <comment ref="C56" authorId="0" shapeId="0" xr:uid="{79C55B77-7658-43E9-B2D3-6EE2A20B33BA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All-cash deal: No equity issued to WBD shareholders. Previously $11.7B.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Montoya</author>
  </authors>
  <commentList>
    <comment ref="F24" authorId="0" shapeId="0" xr:uid="{1E7E7D58-D3A8-4667-AF78-0F491AEDDFCB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I include intangibles because Netflixs IP is core to its business 
</t>
        </r>
      </text>
    </comment>
    <comment ref="G38" authorId="0" shapeId="0" xr:uid="{6779138E-273B-41E3-80B1-BDD630C70009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U.S. Treasury, 10-Year CMT yield as of Feb 4, 2026 (~4.28%). CNBC/Trading Economics.</t>
        </r>
      </text>
    </comment>
    <comment ref="H38" authorId="0" shapeId="0" xr:uid="{E257A4AD-79E4-45A9-B05D-8A3F9F7CEBC3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U.S. Treasury, 10-Year CMT yield as of Feb 4, 2026 (~4.28%). CNBC/Trading Economics.</t>
        </r>
      </text>
    </comment>
    <comment ref="G39" authorId="0" shapeId="0" xr:uid="{38B2479B-FA0D-4797-92BD-58C09C7E725C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Damodaran (NYU Stern), implied ERP for S&amp;P 500 at start of 2025 = 4.33%. Used as proxy for current ERP.</t>
        </r>
      </text>
    </comment>
    <comment ref="H39" authorId="0" shapeId="0" xr:uid="{F2D97CF6-7B50-45B2-A262-A38A81B99A11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Damodaran (NYU Stern), implied ERP for S&amp;P 500 at start of 2025 = 4.33%. Used as proxy for current ERP.</t>
        </r>
      </text>
    </comment>
    <comment ref="G40" authorId="0" shapeId="0" xr:uid="{FD2A2C0A-BE5F-4FFA-ABCF-15A7E79FB2E3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Yahoo Finance, NFLX Beta (5Y Monthly) = 1.71. Note: post-merger beta may increase due to higher leverage. Using unlevered/relevered beta would be more precise.</t>
        </r>
      </text>
    </comment>
    <comment ref="H40" authorId="0" shapeId="0" xr:uid="{6D9C1957-1688-4B9F-A324-052F4C469268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Yahoo Finance, NFLX Beta (5Y Monthly) = 1.71.</t>
        </r>
      </text>
    </comment>
    <comment ref="H41" authorId="0" shapeId="0" xr:uid="{C23536E1-EBBB-4B9F-B5A2-5696C3E1185E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CAPM: Ke = Rf + Beta × ERP</t>
        </r>
      </text>
    </comment>
    <comment ref="G44" authorId="0" shapeId="0" xr:uid="{8C2D2561-D16C-4680-9430-9FE90C3BF8D7}">
      <text>
        <r>
          <rPr>
            <b/>
            <sz val="9"/>
            <color indexed="81"/>
            <rFont val="Tahoma"/>
            <family val="2"/>
          </rPr>
          <t>Blended pre-tax cost of debt = Total interest expense / Total debt. After merger includes NFLX existing debt ($17.1B) + acquired WBD debt ($10.7B) + new acquisition debt ($50B).</t>
        </r>
      </text>
    </comment>
    <comment ref="H44" authorId="0" shapeId="0" xr:uid="{1548E796-C3C3-4C09-9D46-6D8A0C23C2FC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Pre-tax cost of debt = NFLX interest expense / total NFLX debt (from BS Analysis).</t>
        </r>
      </text>
    </comment>
    <comment ref="G45" authorId="0" shapeId="0" xr:uid="{687C6AC4-E45D-41D1-98BF-A77F1E39C973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Effective tax rate derived from Netflix pre-tax income and tax provision.</t>
        </r>
      </text>
    </comment>
    <comment ref="H46" authorId="0" shapeId="0" xr:uid="{B84FC851-2350-4ADD-9FE9-A8FB29382AA6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After-tax Kd = Pre-tax Kd × (1 - Tax Rate)</t>
        </r>
      </text>
    </comment>
    <comment ref="G49" authorId="0" shapeId="0" xr:uid="{359D9EEE-2919-42B3-AED4-1C7AAAAC621C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companiesmarketcap.com, Feb 2026 ~$345.8B. Rounded to $345B. Note: post-merger market cap is uncertain and would depend on market reaction. Using current pre-announcement market cap as proxy.</t>
        </r>
      </text>
    </comment>
    <comment ref="H49" authorId="0" shapeId="0" xr:uid="{C269234F-6D11-46C7-B050-7689E362F4D2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Source: companiesmarketcap.com, Feb 2026 ~$345.8B. Rounded to $345B.</t>
        </r>
      </text>
    </comment>
    <comment ref="G55" authorId="0" shapeId="0" xr:uid="{21343479-405E-4869-8DEE-254BFBC814CC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WACC = (E/V × Ke) + (D/V × Kd after-tax). Method: CAPM for cost of equity, blended cost of debt with tax shield.</t>
        </r>
      </text>
    </comment>
    <comment ref="H55" authorId="0" shapeId="0" xr:uid="{F6E6271B-29C3-478F-ADC8-A84629B967F5}">
      <text>
        <r>
          <rPr>
            <b/>
            <sz val="9"/>
            <color indexed="81"/>
            <rFont val="Tahoma"/>
            <family val="2"/>
          </rPr>
          <t>Bruno Montoya:</t>
        </r>
        <r>
          <rPr>
            <sz val="9"/>
            <color indexed="81"/>
            <rFont val="Tahoma"/>
            <family val="2"/>
          </rPr>
          <t xml:space="preserve">
WACC = (E/V × Ke) + (D/V × Kd after-tax)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<sst xmlns="http://schemas.openxmlformats.org/spreadsheetml/2006/main" count="1263" uniqueCount="612">
  <si>
    <t>Asset</t>
  </si>
  <si>
    <t>Details/Value</t>
  </si>
  <si>
    <t>Content Library</t>
  </si>
  <si>
    <t>Intellectual Property</t>
  </si>
  <si>
    <t>Goodwill</t>
  </si>
  <si>
    <t>Subscriber Base</t>
  </si>
  <si>
    <t>~97.7 M DTC subscribers (2023); grew to 110.5 M in Q3 2024 – HBO/Max and Discovery+ paying users</t>
  </si>
  <si>
    <t>Studio Facilities &amp; Tech</t>
  </si>
  <si>
    <t>~$6.0 B in property &amp; equipment – Hollywood studio lots, production facilities, and streaming tech infrastructure</t>
  </si>
  <si>
    <t>Games &amp; Other Assets</t>
  </si>
  <si>
    <t xml:space="preserve">Value </t>
  </si>
  <si>
    <t>Approx 2024 Revenue</t>
  </si>
  <si>
    <t>Television product</t>
  </si>
  <si>
    <t>~45–48%</t>
  </si>
  <si>
    <t>Film/Theatrical + Home Ent</t>
  </si>
  <si>
    <t>~35–38%</t>
  </si>
  <si>
    <t>Games</t>
  </si>
  <si>
    <t>~7–10%</t>
  </si>
  <si>
    <t>Content Total</t>
  </si>
  <si>
    <t xml:space="preserve">Justification </t>
  </si>
  <si>
    <t xml:space="preserve">I see synergystic value to licencing and the production of shows but no use of its live studio arm. </t>
  </si>
  <si>
    <t xml:space="preserve">I do not see synergystic value to its theatrical releases and expect Netflix to eventually leave that space. I also see its home enertainment arm being dismantled. </t>
  </si>
  <si>
    <t xml:space="preserve">Other </t>
  </si>
  <si>
    <t xml:space="preserve">I see videogame studios being used by Netflix to crete original games even though revenue for this division decreased 53% </t>
  </si>
  <si>
    <t xml:space="preserve">WBD's theme parks will be a hassle to dismantle </t>
  </si>
  <si>
    <t>% of Studios Revenue</t>
  </si>
  <si>
    <t>Total</t>
  </si>
  <si>
    <t xml:space="preserve">Total </t>
  </si>
  <si>
    <t>WBD_cash-flow_Annual_As_Originally_Reported</t>
  </si>
  <si>
    <t>2020</t>
  </si>
  <si>
    <t>2021</t>
  </si>
  <si>
    <t>2022</t>
  </si>
  <si>
    <t>2023</t>
  </si>
  <si>
    <t>2024</t>
  </si>
  <si>
    <t>TTM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</si>
  <si>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</si>
  <si>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</si>
  <si>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</si>
  <si>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</si>
  <si>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</si>
  <si>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</si>
  <si>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</si>
  <si>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        Depreciation, Non-Cash Adjustment</t>
  </si>
  <si>
    <t xml:space="preserve">                        Amortization, Non-Cash Adjustment</t>
  </si>
  <si>
    <t xml:space="preserve">                Stock-Based Compensation, Non-Cash Adjustment</t>
  </si>
  <si>
    <t xml:space="preserve">                Deferred Taxes, Non-Cash Adjustment</t>
  </si>
  <si>
    <t xml:space="preserve">                Net Investment Income/Loss, Non-Cash Adjustment</t>
  </si>
  <si>
    <t xml:space="preserve">                    Realized Gain/Loss on Disposal/Sale of Financial Instruments, Non-Cash Adjustment</t>
  </si>
  <si>
    <t xml:space="preserve">                    Gain/Loss on Derivatives, Non-Cash Adjustment</t>
  </si>
  <si>
    <t/>
  </si>
  <si>
    <t xml:space="preserve">                    Share of Profit/Loss from Associates, Joint Ventures and other Equity Investments, Non-Cash Adjustment</t>
  </si>
  <si>
    <t xml:space="preserve">                Irregular Income/Loss, Non-Cash Adjustment</t>
  </si>
  <si>
    <t xml:space="preserve">                    Write Down and Write off of Other Assets, Non-Cash Adjustment</t>
  </si>
  <si>
    <t xml:space="preserve">                    Gain/Loss on Extinguishment of Debt, Non-Cash Adjustment</t>
  </si>
  <si>
    <t xml:space="preserve">                    Reorganization and M&amp;A, Non-Cash Adjustment</t>
  </si>
  <si>
    <t xml:space="preserve">                    Gain/Loss on Disposals, Non-Cash Adjustment</t>
  </si>
  <si>
    <t xml:space="preserve">                        Gain/Loss on Disposal/Sale of Fixed Assets, Non-Cash Adjustment</t>
  </si>
  <si>
    <t xml:space="preserve">                        Gain/Loss on Disposal/Sale of Business, Non-Cash Adjustment</t>
  </si>
  <si>
    <t xml:space="preserve">                    Impairment of Goodwill, Non-Cash Adjustment</t>
  </si>
  <si>
    <t xml:space="preserve">                Other Non-Cash Items</t>
  </si>
  <si>
    <t xml:space="preserve">            Changes in Operating Capital</t>
  </si>
  <si>
    <t xml:space="preserve">                Change in Trade and Other Receivables</t>
  </si>
  <si>
    <t xml:space="preserve">                    Change in Trade/Accounts Receivable</t>
  </si>
  <si>
    <t xml:space="preserve">                    Change in Tax Receivables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</si>
  <si>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</si>
  <si>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</si>
  <si>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</si>
  <si>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        Change in Other Payables</t>
  </si>
  <si>
    <t xml:space="preserve">                Change in Other Operating Capital</t>
  </si>
  <si>
    <t xml:space="preserve">                Change in Other Current Liabilities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</si>
  <si>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</si>
  <si>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</si>
  <si>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</si>
  <si>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</si>
  <si>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Purchase/Sale of Business, Net</t>
  </si>
  <si>
    <t xml:space="preserve">            Purchase/Acquisition of Business</t>
  </si>
  <si>
    <t xml:space="preserve">            Sale of Business</t>
  </si>
  <si>
    <t xml:space="preserve">        Purchase/Sale of Equity Investments</t>
  </si>
  <si>
    <t xml:space="preserve">            Purchase of Joint Venture/Associate</t>
  </si>
  <si>
    <t xml:space="preserve">            Sale of Joint Venture/Associate</t>
  </si>
  <si>
    <t xml:space="preserve">        Purchase/Sale of Investments, Net</t>
  </si>
  <si>
    <t xml:space="preserve">            Sale of Investments</t>
  </si>
  <si>
    <t xml:space="preserve">            Purchase of Investments</t>
  </si>
  <si>
    <t xml:space="preserve">        Other Investing Cash Flow</t>
  </si>
  <si>
    <t xml:space="preserve">        Purchase/Sale of Other Non-Current Assets, Net</t>
  </si>
  <si>
    <t xml:space="preserve">            Sales of Other Non-Current Assets</t>
  </si>
  <si>
    <t xml:space="preserve">        Dividends Received/Paid, CFI</t>
  </si>
  <si>
    <t>Cash Flow from Financing Activities</t>
  </si>
  <si>
    <t xml:space="preserve">    Cash Flow from Continuing Financing Activities</t>
  </si>
  <si>
    <t xml:space="preserve">        Issuance of/Repayments for Debt, Net</t>
  </si>
  <si>
    <t xml:space="preserve">            Issuance of/Repayments for Short Term Debt, Net</t>
  </si>
  <si>
    <t xml:space="preserve">                Proceeds from Issuance of Short Term Debt</t>
  </si>
  <si>
    <t xml:space="preserve">                Repayments for Short Term Debt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</si>
  <si>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</si>
  <si>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</si>
  <si>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</si>
  <si>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Net Movement in Non-Controlling/Minority Interest</t>
  </si>
  <si>
    <t xml:space="preserve">        Cash Dividends Paid to Non-Controlling/Minority Interests</t>
  </si>
  <si>
    <t xml:space="preserve">        Other Financing Cash Flow</t>
  </si>
  <si>
    <t xml:space="preserve">        Issuance of/Payments for Common Stock, Net</t>
  </si>
  <si>
    <t xml:space="preserve">            Payments for Common Stock</t>
  </si>
  <si>
    <t xml:space="preserve">            Proceeds from Issuance of Common Stock</t>
  </si>
  <si>
    <t xml:space="preserve">        Issuance of/Repayments for Lease Financing</t>
  </si>
  <si>
    <t xml:space="preserve">            Repayments for Lease Financing</t>
  </si>
  <si>
    <t xml:space="preserve">        Proceeds from Issuance/Exercising of Stock Options/Warrants</t>
  </si>
  <si>
    <t xml:space="preserve">        Issue and Financing Costs</t>
  </si>
  <si>
    <t xml:space="preserve">            Debt Issuance Costs</t>
  </si>
  <si>
    <t>Cash and Cash Equivalents, End of Period</t>
  </si>
  <si>
    <t xml:space="preserve">    Change in Cash</t>
  </si>
  <si>
    <t xml:space="preserve">    Effect of Exchange Rate Changes</t>
  </si>
  <si>
    <t xml:space="preserve">    Cash and Cash Equivalents, Beginning of Period</t>
  </si>
  <si>
    <t>Cash Flow Supplemental Section</t>
  </si>
  <si>
    <t xml:space="preserve">    Change in Cash as Reported, Supplemental</t>
  </si>
  <si>
    <t>Fiscal year ends in Dec 31 | USD</t>
  </si>
  <si>
    <t>WBD_income-statement_Annual_As_Originally_Reported</t>
  </si>
  <si>
    <t>Gross Profit</t>
  </si>
  <si>
    <t xml:space="preserve">    Total Revenue</t>
  </si>
  <si>
    <t xml:space="preserve">        Business Revenue</t>
  </si>
  <si>
    <t xml:space="preserve">        Other Revenue</t>
  </si>
  <si>
    <t xml:space="preserve">    Cost of Revenue</t>
  </si>
  <si>
    <t>Operating Income/Expenses</t>
  </si>
  <si>
    <t xml:space="preserve">    Selling, General and Administrative Expenses</t>
  </si>
  <si>
    <t xml:space="preserve">    Depreciation, Amortization and Depletion</t>
  </si>
  <si>
    <t xml:space="preserve">        Depreciation and Amortization</t>
  </si>
  <si>
    <t>Total Operating Profit/Loss</t>
  </si>
  <si>
    <t>Non-Operating Income/Expense,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</si>
  <si>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</si>
  <si>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</si>
  <si>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</si>
  <si>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</si>
  <si>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Net Investment Income</t>
  </si>
  <si>
    <t xml:space="preserve">        Fair Value or Unrealized Gain/Loss on Financial Assets</t>
  </si>
  <si>
    <t xml:space="preserve">        Income from Associates, JointVentures and Other Participating Interests</t>
  </si>
  <si>
    <t xml:space="preserve">            Shareof Profit and Interest from Joint Venture</t>
  </si>
  <si>
    <t xml:space="preserve">            Income from Other Participating Interests</t>
  </si>
  <si>
    <t xml:space="preserve">        Gain/Loss on Foreign Currency Exchange</t>
  </si>
  <si>
    <t xml:space="preserve">        Gain/Loss on Derivatives</t>
  </si>
  <si>
    <t xml:space="preserve">        Gain/Loss on Investments and Other Financial Instruments</t>
  </si>
  <si>
    <t xml:space="preserve">    Irregular Income/Expense</t>
  </si>
  <si>
    <t xml:space="preserve">        Disposal of Businesses</t>
  </si>
  <si>
    <t xml:space="preserve">        Impairment/Write Off/Write Down of Capital Assets</t>
  </si>
  <si>
    <t xml:space="preserve">        Gain/Loss on Extinguishment of Debt</t>
  </si>
  <si>
    <t xml:space="preserve">        Restructuring and Reorganization Income/Expense</t>
  </si>
  <si>
    <t xml:space="preserve">        Other Irregular Income/Expense</t>
  </si>
  <si>
    <t xml:space="preserve">        Debt Restructuring</t>
  </si>
  <si>
    <t xml:space="preserve">        Goodwill Impairment/Write Off</t>
  </si>
  <si>
    <t xml:space="preserve">        Write Off/Write Down of Other Assets</t>
  </si>
  <si>
    <t xml:space="preserve">    Other Income/Expense, Non-Operating</t>
  </si>
  <si>
    <t>Pretax Income</t>
  </si>
  <si>
    <t>Provision for Income Tax</t>
  </si>
  <si>
    <t>Net Income before Extraordinary Items and 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</si>
  <si>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</si>
  <si>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</si>
  <si>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</si>
  <si>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Preferred/Other Stock Distribution</t>
  </si>
  <si>
    <t xml:space="preserve">    Convertible Preferred Stock Dividends</t>
  </si>
  <si>
    <t xml:space="preserve">    Preferred Stock Dividends</t>
  </si>
  <si>
    <t>Other Adjustments to Net Income Available to Common Stockholders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</si>
  <si>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</si>
  <si>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</si>
  <si>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</si>
  <si>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</si>
  <si>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</si>
  <si>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Total Operating Profit/Loss</t>
  </si>
  <si>
    <t xml:space="preserve">        Reported Effective Tax Rate</t>
  </si>
  <si>
    <t xml:space="preserve">        Reported Normalized EBITDA</t>
  </si>
  <si>
    <t xml:space="preserve">        Reported Normalized Income</t>
  </si>
  <si>
    <t xml:space="preserve">    Operating Income/Expense, Supplemental Section</t>
  </si>
  <si>
    <t xml:space="preserve">        Depreciation, Amortization and Depletion, Supplemental</t>
  </si>
  <si>
    <t xml:space="preserve">            Depreciation and Amortization, Supplemental</t>
  </si>
  <si>
    <t xml:space="preserve">                Depreciation, Supplemental</t>
  </si>
  <si>
    <t xml:space="preserve">                Amortization, Supplemental</t>
  </si>
  <si>
    <t>Dilution to Earnings</t>
  </si>
  <si>
    <t>Basic EPS</t>
  </si>
  <si>
    <t xml:space="preserve">    Basic EPS from Continuing Operations</t>
  </si>
  <si>
    <t>Diluted EPS</t>
  </si>
  <si>
    <t xml:space="preserve">    Diluted EPS from Continuing Operations</t>
  </si>
  <si>
    <t>Basic Weighted Average Shares Outstanding</t>
  </si>
  <si>
    <t>Diluted Weighted Average Shares Outstanding</t>
  </si>
  <si>
    <t>Reported Normalized Diluted EPS</t>
  </si>
  <si>
    <t>Basic WASO</t>
  </si>
  <si>
    <t>Diluted WASO</t>
  </si>
  <si>
    <t>WBD_balance-sheet_Annual_As_Originally_Reported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</si>
  <si>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</si>
  <si>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</si>
  <si>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</si>
  <si>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</si>
  <si>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</si>
  <si>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</si>
  <si>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</si>
  <si>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</si>
  <si>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Other Receivables, Current</t>
  </si>
  <si>
    <t xml:space="preserve">        Prepayments and Deposits, Current</t>
  </si>
  <si>
    <t xml:space="preserve">        Other Current Assets</t>
  </si>
  <si>
    <t xml:space="preserve">        Deferred Tax Assets, Current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</si>
  <si>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</si>
  <si>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</si>
  <si>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</si>
  <si>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</si>
  <si>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Machinery, Furniture and Equipment</t>
  </si>
  <si>
    <t xml:space="preserve">                    Furniture, Fixtures and Office Equipment</t>
  </si>
  <si>
    <t xml:space="preserve">                Construction in Progress and Advance Payments</t>
  </si>
  <si>
    <t xml:space="preserve">                Other Property, Plant and Equipment</t>
  </si>
  <si>
    <t xml:space="preserve">            Accumulated Depreciation and Impairment</t>
  </si>
  <si>
    <t xml:space="preserve">                Accumulated Depreciation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</si>
  <si>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</si>
  <si>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</si>
  <si>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</si>
  <si>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</si>
  <si>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</si>
  <si>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Licenses and Rights</t>
  </si>
  <si>
    <t xml:space="preserve">                    Customer Relationships</t>
  </si>
  <si>
    <t xml:space="preserve">                   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</si>
  <si>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</si>
  <si>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</si>
  <si>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</si>
  <si>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Trademarks and Patents</t>
  </si>
  <si>
    <t xml:space="preserve">                        Accumulated Amortization of Licences and Rights</t>
  </si>
  <si>
    <t xml:space="preserve">                        Accumulated Amortization of Customer Relationships</t>
  </si>
  <si>
    <t xml:space="preserve">                        Accumulated Amortization of Other Intangible Assets</t>
  </si>
  <si>
    <t xml:space="preserve">                Accumulated Impairment of Intangible Assets</t>
  </si>
  <si>
    <t xml:space="preserve">                    Accumulated Impairment of Goodwill</t>
  </si>
  <si>
    <t xml:space="preserve">        Other Non-Current Assets</t>
  </si>
  <si>
    <t xml:space="preserve">        Total Long Term Investments</t>
  </si>
  <si>
    <t xml:space="preserve">            Long Term Equity Investments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</si>
  <si>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</si>
  <si>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</si>
  <si>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</si>
  <si>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</si>
  <si>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</si>
  <si>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Other Payable, Current</t>
  </si>
  <si>
    <t xml:space="preserve">                Interest Payable, Current</t>
  </si>
  <si>
    <t xml:space="preserve">                Taxes Payable, Current</t>
  </si>
  <si>
    <t xml:space="preserve">           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</si>
  <si>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</si>
  <si>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</si>
  <si>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</si>
  <si>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</si>
  <si>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Other Current Portion of LT Debt</t>
  </si>
  <si>
    <t xml:space="preserve">        Deferred Liabilities, Current</t>
  </si>
  <si>
    <t xml:space="preserve">            Deferred Income/Customer Advances/Billings in Excess of Cost, Current</t>
  </si>
  <si>
    <t xml:space="preserve">        Other Current Liabilities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</si>
  <si>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</si>
  <si>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</si>
  <si>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</si>
  <si>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</si>
  <si>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</si>
  <si>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Tax Liabilities, Non-Current</t>
  </si>
  <si>
    <t xml:space="preserve">            Deferred Tax Liabilities,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</si>
  <si>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</si>
  <si>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</si>
  <si>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</si>
  <si>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</si>
  <si>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</si>
  <si>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</si>
  <si>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Preferred Stock</t>
  </si>
  <si>
    <t xml:space="preserve">                Additional Paid in Capital/Share Premium</t>
  </si>
  <si>
    <t xml:space="preserve">            Treasury Stock</t>
  </si>
  <si>
    <t xml:space="preserve">        Retained Earnings/Accumulated Deficit</t>
  </si>
  <si>
    <t xml:space="preserve">        Reserves/Accumulated Comprehensive Income/Losses</t>
  </si>
  <si>
    <t xml:space="preserve">            Other Reserves/Accum.Comp.Inc</t>
  </si>
  <si>
    <t xml:space="preserve">    Non-Controlling/Minority Interests in Equity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</si>
  <si>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</si>
  <si>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</si>
  <si>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</si>
  <si>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</si>
  <si>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</si>
  <si>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</si>
  <si>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due Beyond</t>
  </si>
  <si>
    <t xml:space="preserve">    Debt - Interests Charges and Other Adjustments</t>
  </si>
  <si>
    <t>Capital Lease Obligation Maturity Schedule Total</t>
  </si>
  <si>
    <t xml:space="preserve">    Capital Lease due in Year 1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</si>
  <si>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</si>
  <si>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</si>
  <si>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</si>
  <si>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Capital Lease due in Year 5</t>
  </si>
  <si>
    <t xml:space="preserve">    Capital Lease due Beyond</t>
  </si>
  <si>
    <t xml:space="preserve">    Capital Lease - Interests Charges and Other Adjustments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</si>
  <si>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</si>
  <si>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</si>
  <si>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</si>
  <si>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</si>
  <si>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</si>
  <si>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Beyond</t>
  </si>
  <si>
    <t xml:space="preserve">    Operating Lease - Interests Charges and Other Adjustments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</si>
  <si>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</si>
  <si>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</si>
  <si>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</si>
  <si>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</si>
  <si>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</si>
  <si>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</si>
  <si>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</si>
  <si>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</si>
  <si>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</si>
  <si>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</si>
  <si>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</si>
  <si>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</si>
  <si>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</si>
  <si>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</si>
  <si>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</si>
  <si>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</si>
  <si>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</si>
  <si>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</si>
  <si>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3</t>
  </si>
  <si>
    <t xml:space="preserve">    Other Contractual Obligations due in Year 5</t>
  </si>
  <si>
    <t xml:space="preserve">    Other Contractual Obligations due Beyond</t>
  </si>
  <si>
    <t xml:space="preserve"> % Change </t>
  </si>
  <si>
    <t xml:space="preserve"> % Change (ex-FX) </t>
  </si>
  <si>
    <t xml:space="preserve"> Distribution                                                   </t>
  </si>
  <si>
    <t xml:space="preserve"> Advertising                                                    </t>
  </si>
  <si>
    <t xml:space="preserve"> Content                                                        </t>
  </si>
  <si>
    <t xml:space="preserve"> Other                                                          </t>
  </si>
  <si>
    <t xml:space="preserve"> **Total revenues**                                             </t>
  </si>
  <si>
    <t xml:space="preserve"> Costs of revenues, excluding depreciation and amortization     </t>
  </si>
  <si>
    <t xml:space="preserve"> Selling, general and administrative                            </t>
  </si>
  <si>
    <t xml:space="preserve"> **Adjusted EBITDA**                                            </t>
  </si>
  <si>
    <t xml:space="preserve"> Depreciation and amortization                                  </t>
  </si>
  <si>
    <t xml:space="preserve">          </t>
  </si>
  <si>
    <t xml:space="preserve">                  </t>
  </si>
  <si>
    <t xml:space="preserve"> Employee share-based compensation                              </t>
  </si>
  <si>
    <t xml:space="preserve"> –      </t>
  </si>
  <si>
    <t xml:space="preserve"> Restructuring and other charges                                </t>
  </si>
  <si>
    <t xml:space="preserve"> Transaction and integration costs                              </t>
  </si>
  <si>
    <t xml:space="preserve"> Facility consolidation costs                                   </t>
  </si>
  <si>
    <t xml:space="preserve"> Impairment and amortization of fair value step-up for content  </t>
  </si>
  <si>
    <t xml:space="preserve"> Amortization of capitalized interest for content               </t>
  </si>
  <si>
    <t xml:space="preserve"> Inter-segment eliminations                                     </t>
  </si>
  <si>
    <t xml:space="preserve"> Impairments and loss on dispositions                           </t>
  </si>
  <si>
    <t xml:space="preserve"> **Operating income**                                           </t>
  </si>
  <si>
    <t>% Change</t>
  </si>
  <si>
    <t>% Change (ex-FX)</t>
  </si>
  <si>
    <t>Revenues:</t>
  </si>
  <si>
    <t>Distribution</t>
  </si>
  <si>
    <t>Advertising</t>
  </si>
  <si>
    <t>Content</t>
  </si>
  <si>
    <t>Other</t>
  </si>
  <si>
    <t>Total revenues</t>
  </si>
  <si>
    <t>Costs of revenues, excluding depreciation and amortization</t>
  </si>
  <si>
    <t>— %</t>
  </si>
  <si>
    <t>Selling, general and administrative</t>
  </si>
  <si>
    <t>Adjusted EBITDA</t>
  </si>
  <si>
    <t>Depreciation and amortization</t>
  </si>
  <si>
    <t>Restructuring and other charges</t>
  </si>
  <si>
    <t>Transaction and integration costs</t>
  </si>
  <si>
    <t>Impairment and amortization of fair value step-up for content</t>
  </si>
  <si>
    <t>Inter-segment eliminations</t>
  </si>
  <si>
    <t>—</t>
  </si>
  <si>
    <t>Impairments and loss on dispositions</t>
  </si>
  <si>
    <t>Operating (loss) income</t>
  </si>
  <si>
    <t>NM</t>
  </si>
  <si>
    <t>Operating loss</t>
  </si>
  <si>
    <t>NFLX_income-statement_Annual_As_Originally_Reported</t>
  </si>
  <si>
    <t xml:space="preserve">        General and Administrative Expenses</t>
  </si>
  <si>
    <t xml:space="preserve">        Selling and Marketing Expenses</t>
  </si>
  <si>
    <t xml:space="preserve">    Research and Development Expenses</t>
  </si>
  <si>
    <t>NFLX_cash-flow_Annual_As_Originally_Reported</t>
  </si>
  <si>
    <t xml:space="preserve">                    Net Foreign Currency Exchange Gain/Loss, Non-Cash Adjustment</t>
  </si>
  <si>
    <t xml:space="preserve">                Excess Tax Benefit from Stock-Based Compensation, Non-Cash Adjustment</t>
  </si>
  <si>
    <t xml:space="preserve">                Change in Other Current Assets</t>
  </si>
  <si>
    <t xml:space="preserve">                    Change in Accrued Expenses</t>
  </si>
  <si>
    <t xml:space="preserve">                Change in Deferred Assets/Liabilities</t>
  </si>
  <si>
    <t xml:space="preserve">        Other Operating Cash Flow</t>
  </si>
  <si>
    <t xml:space="preserve">        Purchase/Sale of Intangibles, Net</t>
  </si>
  <si>
    <t xml:space="preserve">            Purchase of Intangibles</t>
  </si>
  <si>
    <t xml:space="preserve">        Excess Tax Benefit from Share-Based Compensation, Financing Activities</t>
  </si>
  <si>
    <t xml:space="preserve">    Income Tax Paid, Supplemental</t>
  </si>
  <si>
    <t xml:space="preserve">    Interest Paid, Supplemental</t>
  </si>
  <si>
    <t xml:space="preserve">Profitability metrics </t>
  </si>
  <si>
    <t xml:space="preserve">After merger </t>
  </si>
  <si>
    <t xml:space="preserve">DTC Segment </t>
  </si>
  <si>
    <t xml:space="preserve">Total Revenue </t>
  </si>
  <si>
    <t xml:space="preserve">Operating Income </t>
  </si>
  <si>
    <t xml:space="preserve">TOTAL Operating Income </t>
  </si>
  <si>
    <t xml:space="preserve">DTC Segment Total </t>
  </si>
  <si>
    <t xml:space="preserve">Studios Segment </t>
  </si>
  <si>
    <t>Studios Segment Revenues</t>
  </si>
  <si>
    <t xml:space="preserve">Approx Post Merger </t>
  </si>
  <si>
    <t>Division</t>
  </si>
  <si>
    <t xml:space="preserve">    Growth %</t>
  </si>
  <si>
    <t xml:space="preserve">Before merger </t>
  </si>
  <si>
    <t xml:space="preserve">After Merger </t>
  </si>
  <si>
    <t>WBD</t>
  </si>
  <si>
    <t xml:space="preserve">Other operating expenses </t>
  </si>
  <si>
    <t>NTFX</t>
  </si>
  <si>
    <t xml:space="preserve">cost of debt </t>
  </si>
  <si>
    <t xml:space="preserve">Debt </t>
  </si>
  <si>
    <t xml:space="preserve">Interest expense </t>
  </si>
  <si>
    <t xml:space="preserve">Cost Of Debt </t>
  </si>
  <si>
    <t xml:space="preserve">0 because it is not acquring cash </t>
  </si>
  <si>
    <t xml:space="preserve">Ebitda share </t>
  </si>
  <si>
    <t xml:space="preserve">0 because it is based on cash </t>
  </si>
  <si>
    <t xml:space="preserve">0 because it is insuficient </t>
  </si>
  <si>
    <t xml:space="preserve">use the 1691 M of pre tax income, then weigh it based on EBITDA and then assume Netflix's tax rate </t>
  </si>
  <si>
    <t xml:space="preserve">Cast of debt </t>
  </si>
  <si>
    <t xml:space="preserve">Interest Expense </t>
  </si>
  <si>
    <t xml:space="preserve">NFLX after merger debt calculation </t>
  </si>
  <si>
    <t xml:space="preserve">NTFX cost of debt </t>
  </si>
  <si>
    <t xml:space="preserve">Acquired Debt </t>
  </si>
  <si>
    <t xml:space="preserve">Acquisition Debt </t>
  </si>
  <si>
    <t xml:space="preserve">Total EBITDA share </t>
  </si>
  <si>
    <t xml:space="preserve">Studio EBITDA </t>
  </si>
  <si>
    <t xml:space="preserve">DTC EBITDA </t>
  </si>
  <si>
    <t xml:space="preserve">Total EBITDA  </t>
  </si>
  <si>
    <t xml:space="preserve">Studio + DTC share </t>
  </si>
  <si>
    <t>Studio tax</t>
  </si>
  <si>
    <t xml:space="preserve">WBD Pre tax income </t>
  </si>
  <si>
    <t xml:space="preserve">Studio + DTC Share </t>
  </si>
  <si>
    <t xml:space="preserve">weighted WBD Pre tax income </t>
  </si>
  <si>
    <t xml:space="preserve">Netflix Pre Tax </t>
  </si>
  <si>
    <t>Total pretax</t>
  </si>
  <si>
    <t>Tax rate</t>
  </si>
  <si>
    <t xml:space="preserve">Provision for income tax </t>
  </si>
  <si>
    <t xml:space="preserve">Net Income </t>
  </si>
  <si>
    <t>(Synergystic value of 5)</t>
  </si>
  <si>
    <t xml:space="preserve">Synergystic values </t>
  </si>
  <si>
    <t xml:space="preserve">WBD Cost of Debt </t>
  </si>
  <si>
    <t xml:space="preserve">Acquired debt Interest expense </t>
  </si>
  <si>
    <t xml:space="preserve">Interest Expense on Acquisition Debt </t>
  </si>
  <si>
    <t>NTFX + WBD</t>
  </si>
  <si>
    <t xml:space="preserve">Interest on Debt Schedule </t>
  </si>
  <si>
    <t>Cash &amp; Short Term Investments</t>
  </si>
  <si>
    <t>Cash and Equivalents</t>
  </si>
  <si>
    <t>Short Term Investments</t>
  </si>
  <si>
    <t>Total Cash &amp; ST Investments</t>
  </si>
  <si>
    <t>Receivables</t>
  </si>
  <si>
    <t>Accounts Receivable</t>
  </si>
  <si>
    <t>Other Receivables</t>
  </si>
  <si>
    <t>Total Receivables</t>
  </si>
  <si>
    <t>Current Assets</t>
  </si>
  <si>
    <t>Prepaid Expenses</t>
  </si>
  <si>
    <t>Restricted Cash</t>
  </si>
  <si>
    <t>Other Current Assets</t>
  </si>
  <si>
    <t>Total Current Assets</t>
  </si>
  <si>
    <t>Long-Term Assets</t>
  </si>
  <si>
    <t>Gross Property, Plant &amp; Equipment</t>
  </si>
  <si>
    <t>Accumulated Depreciation</t>
  </si>
  <si>
    <t>Net Property, Plant &amp; Equipment</t>
  </si>
  <si>
    <t>Other Intangibles</t>
  </si>
  <si>
    <t>Deferred Tax Assets</t>
  </si>
  <si>
    <t>Other Long-Term Assets</t>
  </si>
  <si>
    <t>Current Liabilities</t>
  </si>
  <si>
    <t>Accrued Expenses</t>
  </si>
  <si>
    <t>Current Portion of LT Debt</t>
  </si>
  <si>
    <t>Current Portion of Lease Obligations</t>
  </si>
  <si>
    <t>Unearned Revenue, Current</t>
  </si>
  <si>
    <t>Other Current Liabilities</t>
  </si>
  <si>
    <t>Total Current Liabilities</t>
  </si>
  <si>
    <t>Long-Term Liabilities</t>
  </si>
  <si>
    <t>Deferred Tax Liability, Non-Current</t>
  </si>
  <si>
    <t>Capital Leases</t>
  </si>
  <si>
    <t>Other Non-Current Liabilities</t>
  </si>
  <si>
    <t>Common Equity</t>
  </si>
  <si>
    <t>Retained Earnings</t>
  </si>
  <si>
    <t>Treasury Stock</t>
  </si>
  <si>
    <t>Comprehensive Income and Other</t>
  </si>
  <si>
    <t>Total Common Equity</t>
  </si>
  <si>
    <t>Total Liabilities and Equity</t>
  </si>
  <si>
    <t>Supplemental Items</t>
  </si>
  <si>
    <t>Total Shares Out. on Filing Date (millions)</t>
  </si>
  <si>
    <t>Total Common Shares Outstanding (millions)</t>
  </si>
  <si>
    <t>Cash Per Share ($)</t>
  </si>
  <si>
    <t>Book Value / Share ($)</t>
  </si>
  <si>
    <t>Tangible Book Value</t>
  </si>
  <si>
    <t>Tangible Book Value Per Share ($)</t>
  </si>
  <si>
    <t>Total Debt</t>
  </si>
  <si>
    <t>Net Debt</t>
  </si>
  <si>
    <t>Land</t>
  </si>
  <si>
    <t>Buildings, Total</t>
  </si>
  <si>
    <t>Machinery, Total</t>
  </si>
  <si>
    <t>IP</t>
  </si>
  <si>
    <t>NLFX Gross PP&amp;E</t>
  </si>
  <si>
    <t xml:space="preserve">NFLX other intangibles </t>
  </si>
  <si>
    <t>Netflix Long-Term Debt</t>
  </si>
  <si>
    <t xml:space="preserve">Issued common stock </t>
  </si>
  <si>
    <t>total Common Stock</t>
  </si>
  <si>
    <t xml:space="preserve">After the merger </t>
  </si>
  <si>
    <t xml:space="preserve">Before Merger </t>
  </si>
  <si>
    <t>ROA</t>
  </si>
  <si>
    <t>ROE</t>
  </si>
  <si>
    <t xml:space="preserve">net Income </t>
  </si>
  <si>
    <t xml:space="preserve">Total Assets </t>
  </si>
  <si>
    <t>operating ROA</t>
  </si>
  <si>
    <t>Liability item (what shows up on pro forma BS)</t>
  </si>
  <si>
    <t>Where it comes from</t>
  </si>
  <si>
    <t>WBD consolidated amount (Sep 30, 2025)</t>
  </si>
  <si>
    <t>Rough amount Netflix assumes for “Streaming &amp; Studios” (≈53.2%)</t>
  </si>
  <si>
    <t>Notes</t>
  </si>
  <si>
    <t>Acquisition debt</t>
  </si>
  <si>
    <t>New Netflix borrowing</t>
  </si>
  <si>
    <t>Net debt assumed (Studios &amp; Streaming)</t>
  </si>
  <si>
    <t>Assumed with acquired business</t>
  </si>
  <si>
    <t>Deck explicitly shows Studios &amp; Streaming net debt. (Not the same as taking all WBD gross debt.)</t>
  </si>
  <si>
    <t>Accounts payable</t>
  </si>
  <si>
    <t>Assumed operating liability</t>
  </si>
  <si>
    <t>From WBD balance sheet category.</t>
  </si>
  <si>
    <t>Accrued liabilities</t>
  </si>
  <si>
    <t>Deferred revenues</t>
  </si>
  <si>
    <t>Includes prepaid subs/contract liabilities.</t>
  </si>
  <si>
    <t>Other noncurrent liabilities</t>
  </si>
  <si>
    <t>Catch-all line that can include leases, participations, etc.</t>
  </si>
  <si>
    <t>Deferred income taxes</t>
  </si>
  <si>
    <t>Potentially assumed/adjusted</t>
  </si>
  <si>
    <t>Total incremental liabilities (rough)</t>
  </si>
  <si>
    <t>Sum of the rows above (rough).</t>
  </si>
  <si>
    <t xml:space="preserve">WBD Accounts payable incured </t>
  </si>
  <si>
    <t>NFLX Accounts Payable</t>
  </si>
  <si>
    <t xml:space="preserve">Accrued liabilites Incurred </t>
  </si>
  <si>
    <t>WBD's Other noncurrent liabilities</t>
  </si>
  <si>
    <t xml:space="preserve">WBD's Deferred income tax liability </t>
  </si>
  <si>
    <t xml:space="preserve">Equity </t>
  </si>
  <si>
    <t xml:space="preserve">Total Equity </t>
  </si>
  <si>
    <t xml:space="preserve">Before the merger </t>
  </si>
  <si>
    <t xml:space="preserve">Margins </t>
  </si>
  <si>
    <t xml:space="preserve">Gross margins </t>
  </si>
  <si>
    <t xml:space="preserve">Operating  Margin </t>
  </si>
  <si>
    <t xml:space="preserve">Net Margin </t>
  </si>
  <si>
    <t xml:space="preserve">Gross Revenue </t>
  </si>
  <si>
    <t>Total Revenue</t>
  </si>
  <si>
    <t xml:space="preserve">Multiple </t>
  </si>
  <si>
    <t>Income Statement</t>
  </si>
  <si>
    <t xml:space="preserve">I assumed WBD's cost of debt on the acquired debt amount (10.7B)plus the additional debt on the new 50B of debt incurred by Netflix using Netflix's cost of debt  </t>
  </si>
  <si>
    <t>How I will calculate how much is attributed to the Studio and DTC segments</t>
  </si>
  <si>
    <t xml:space="preserve">Solvency Analysis </t>
  </si>
  <si>
    <t xml:space="preserve">Debt to Equity </t>
  </si>
  <si>
    <t xml:space="preserve">Debt to capital </t>
  </si>
  <si>
    <t xml:space="preserve">Financial Leverage </t>
  </si>
  <si>
    <t>Debt to EBITDA Ratio</t>
  </si>
  <si>
    <t xml:space="preserve">    Past Debt </t>
  </si>
  <si>
    <t xml:space="preserve">    Incurred Debt </t>
  </si>
  <si>
    <t xml:space="preserve">    (-)Godwill</t>
  </si>
  <si>
    <t xml:space="preserve">    (-) Defered Revenue </t>
  </si>
  <si>
    <t xml:space="preserve">Total Interest Bearing Assets </t>
  </si>
  <si>
    <t>EBITDA</t>
  </si>
  <si>
    <t xml:space="preserve">Interest Coverage Ratio </t>
  </si>
  <si>
    <t>EBIT</t>
  </si>
  <si>
    <t>Mina Vista Capital Management</t>
  </si>
  <si>
    <t xml:space="preserve">Interest Expense Calculation </t>
  </si>
  <si>
    <t xml:space="preserve">Balance Sheet Analysis </t>
  </si>
  <si>
    <t xml:space="preserve"> = Asset/Liability Items added</t>
  </si>
  <si>
    <t>Studios Segment</t>
  </si>
  <si>
    <t xml:space="preserve">Networks Segment (Not Part of the deal) </t>
  </si>
  <si>
    <t xml:space="preserve">Revenue: </t>
  </si>
  <si>
    <t>DTC + Studios</t>
  </si>
  <si>
    <r>
      <t xml:space="preserve">$21.2 B capitalized </t>
    </r>
    <r>
      <rPr>
        <i/>
        <sz val="10"/>
        <color theme="1"/>
        <rFont val="Garamond"/>
        <family val="1"/>
      </rPr>
      <t>film, TV &amp; game content</t>
    </r>
    <r>
      <rPr>
        <sz val="10"/>
        <color theme="1"/>
        <rFont val="Garamond"/>
        <family val="1"/>
      </rPr>
      <t xml:space="preserve"> (net) – vast back catalog of films and series (e.g. </t>
    </r>
    <r>
      <rPr>
        <i/>
        <sz val="10"/>
        <color theme="1"/>
        <rFont val="Garamond"/>
        <family val="1"/>
      </rPr>
      <t>Harry Potter</t>
    </r>
    <r>
      <rPr>
        <sz val="10"/>
        <color theme="1"/>
        <rFont val="Garamond"/>
        <family val="1"/>
      </rPr>
      <t xml:space="preserve">, </t>
    </r>
    <r>
      <rPr>
        <i/>
        <sz val="10"/>
        <color theme="1"/>
        <rFont val="Garamond"/>
        <family val="1"/>
      </rPr>
      <t>LoTR</t>
    </r>
    <r>
      <rPr>
        <sz val="10"/>
        <color theme="1"/>
        <rFont val="Garamond"/>
        <family val="1"/>
      </rPr>
      <t xml:space="preserve">, </t>
    </r>
    <r>
      <rPr>
        <i/>
        <sz val="10"/>
        <color theme="1"/>
        <rFont val="Garamond"/>
        <family val="1"/>
      </rPr>
      <t>Friends</t>
    </r>
    <r>
      <rPr>
        <sz val="10"/>
        <color theme="1"/>
        <rFont val="Garamond"/>
        <family val="1"/>
      </rPr>
      <t>)</t>
    </r>
  </si>
  <si>
    <r>
      <t xml:space="preserve">$38.3 B </t>
    </r>
    <r>
      <rPr>
        <i/>
        <sz val="10"/>
        <color theme="1"/>
        <rFont val="Garamond"/>
        <family val="1"/>
      </rPr>
      <t>intangible assets</t>
    </r>
    <r>
      <rPr>
        <sz val="10"/>
        <color theme="1"/>
        <rFont val="Garamond"/>
        <family val="1"/>
      </rPr>
      <t xml:space="preserve"> (net) – includes franchises, characters, trade names (HBO, WB, DC, etc.) valued at ~$21 B</t>
    </r>
  </si>
  <si>
    <r>
      <t xml:space="preserve">11 game development studios (WB Games) + licensed game portfolio; </t>
    </r>
    <r>
      <rPr>
        <b/>
        <sz val="10"/>
        <color theme="1"/>
        <rFont val="Garamond"/>
        <family val="1"/>
      </rPr>
      <t>consumer product</t>
    </r>
    <r>
      <rPr>
        <sz val="10"/>
        <color theme="1"/>
        <rFont val="Garamond"/>
        <family val="1"/>
      </rPr>
      <t xml:space="preserve"> licensing business; studio tours, etc. (contributing ~$0.8 B “Other” revenue in 2023)</t>
    </r>
  </si>
  <si>
    <r>
      <t>Often heavily reshaped by purchase accounting</t>
    </r>
    <r>
      <rPr>
        <sz val="10"/>
        <color theme="1"/>
        <rFont val="Garamond"/>
        <family val="1"/>
      </rPr>
      <t xml:space="preserve"> (DTLs/DTAs get remeasured). Still a “bucket” you may need.</t>
    </r>
  </si>
  <si>
    <t>GROWTH ASSUMPTIONS</t>
  </si>
  <si>
    <t>Item</t>
  </si>
  <si>
    <t>Growth %</t>
  </si>
  <si>
    <t>Cost of Revenue</t>
  </si>
  <si>
    <t>YoY change</t>
  </si>
  <si>
    <t>SG&amp;A</t>
  </si>
  <si>
    <t>Depreciation &amp; Amortization</t>
  </si>
  <si>
    <t>Restructuring &amp; Other Charges</t>
  </si>
  <si>
    <t>Impairment of Content</t>
  </si>
  <si>
    <t>Amort of Capitalized Interest</t>
  </si>
  <si>
    <t>Impairments &amp; Loss on Dispositions</t>
  </si>
  <si>
    <t>SCENARIO SELECT:</t>
  </si>
  <si>
    <t>Normal</t>
  </si>
  <si>
    <t>SCENARIO TABLES</t>
  </si>
  <si>
    <t>Synergistic Multiples</t>
  </si>
  <si>
    <t>Conservative</t>
  </si>
  <si>
    <t>Optimistic</t>
  </si>
  <si>
    <t>Value 1 (Dismantle)</t>
  </si>
  <si>
    <t>Value 2 (Divest)</t>
  </si>
  <si>
    <t>Value 3 (No Synergy)</t>
  </si>
  <si>
    <t>Value 4 (Moderate Synergy)</t>
  </si>
  <si>
    <t>Value 5 (High Synergy)</t>
  </si>
  <si>
    <t>Growth Assumptions</t>
  </si>
  <si>
    <t>Restructuring &amp; Other</t>
  </si>
  <si>
    <t>Amort of Cap Interest</t>
  </si>
  <si>
    <t>Impairments &amp; Dispositions</t>
  </si>
  <si>
    <t>We assigned a value from 1-5 to each of the divisions. 1 means a dismantling of the division, 3 means Netflix will likely use it but we see no synergistic value and 5 means synergistic value meaning it will have a higher revenue.</t>
  </si>
  <si>
    <t>ROIC Analysis</t>
  </si>
  <si>
    <t>After Merger</t>
  </si>
  <si>
    <t>Before Merger</t>
  </si>
  <si>
    <t>NOPAT Calculation</t>
  </si>
  <si>
    <t xml:space="preserve">    Operating Income (EBIT)</t>
  </si>
  <si>
    <t xml:space="preserve">    Tax Rate</t>
  </si>
  <si>
    <t>NOPAT</t>
  </si>
  <si>
    <t>Invested Capital Calculation</t>
  </si>
  <si>
    <t xml:space="preserve">    Total Assets</t>
  </si>
  <si>
    <t xml:space="preserve">    (-) Cash &amp; ST Investments</t>
  </si>
  <si>
    <t xml:space="preserve">    (-) Accounts Payable</t>
  </si>
  <si>
    <t xml:space="preserve">    (-) Accrued Liabilities</t>
  </si>
  <si>
    <t xml:space="preserve">    (-) Deferred Revenue</t>
  </si>
  <si>
    <t xml:space="preserve">    (-) Other Current Liabilities</t>
  </si>
  <si>
    <t xml:space="preserve">    (-) Deferred Tax Liability</t>
  </si>
  <si>
    <t>Invested Capital</t>
  </si>
  <si>
    <t>ROIC</t>
  </si>
  <si>
    <t xml:space="preserve">Scenario: </t>
  </si>
  <si>
    <t>WACC Analysis</t>
  </si>
  <si>
    <t>Cost of Equity (CAPM)</t>
  </si>
  <si>
    <t xml:space="preserve">    Risk-Free Rate (10Y UST)</t>
  </si>
  <si>
    <t xml:space="preserve">    Equity Risk Premium</t>
  </si>
  <si>
    <t xml:space="preserve">    Beta (5Y Monthly)</t>
  </si>
  <si>
    <t>Cost of Equity (Ke)</t>
  </si>
  <si>
    <t>Cost of Debt</t>
  </si>
  <si>
    <t xml:space="preserve">    Pre-Tax Cost of Debt</t>
  </si>
  <si>
    <t>After-Tax Cost of Debt (Kd)</t>
  </si>
  <si>
    <t>Capital Structure Weights</t>
  </si>
  <si>
    <t xml:space="preserve">    Market Cap of Equity</t>
  </si>
  <si>
    <t xml:space="preserve">    Total Debt</t>
  </si>
  <si>
    <t xml:space="preserve">    Total Capital (E + D)</t>
  </si>
  <si>
    <t xml:space="preserve">    Equity Weight (E/V)</t>
  </si>
  <si>
    <t xml:space="preserve">    Debt Weight (D/V)</t>
  </si>
  <si>
    <t>WACC</t>
  </si>
  <si>
    <t>ROIC vs. WACC Spread</t>
  </si>
  <si>
    <t xml:space="preserve">    ROIC - WACC</t>
  </si>
  <si>
    <t>All-cash deal: $61.7B new debt raised (orig $50B + $11.7B shifted from equity). No equity issued.</t>
  </si>
  <si>
    <t>$33.0 B goodwill – adjusted from $35.0B to balance pro forma BS (purchase price allocation residual)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</si>
</sst>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.##"/>
    <numFmt numFmtId="165" formatCode="0.0"/>
    <numFmt numFmtId="166" formatCode="0.0%"/>
    <numFmt numFmtId="167" formatCode="_(* #,##0_);_(* \(#,##0\);_(* &quot;-&quot;??_);_(@_)"/>
    <numFmt numFmtId="168" formatCode="0.0\x"/>
    <numFmt numFmtId="169" formatCode="#,##0.0"/>
    <numFmt numFmtId="170" formatCode="0.00000000000000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Garamond"/>
      <family val="1"/>
    </font>
    <font>
      <sz val="11"/>
      <color theme="1"/>
      <name val="Garamond"/>
      <family val="1"/>
    </font>
    <font>
      <sz val="11"/>
      <color theme="0"/>
      <name val="Garamond"/>
      <family val="1"/>
    </font>
    <font>
      <b/>
      <sz val="10"/>
      <color theme="0"/>
      <name val="Garamond"/>
      <family val="1"/>
    </font>
    <font>
      <sz val="10"/>
      <color theme="1"/>
      <name val="Garamond"/>
      <family val="1"/>
    </font>
    <font>
      <sz val="10"/>
      <color theme="0"/>
      <name val="Garamond"/>
      <family val="1"/>
    </font>
    <font>
      <b/>
      <sz val="11"/>
      <color theme="0"/>
      <name val="Garamond"/>
      <family val="1"/>
    </font>
    <font>
      <b/>
      <sz val="11"/>
      <color theme="1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sz val="10"/>
      <color rgb="FFFF0000"/>
      <name val="Garamond"/>
      <family val="1"/>
    </font>
    <font>
      <sz val="10"/>
      <color theme="3" tint="0.499984740745262"/>
      <name val="Garamond"/>
      <family val="1"/>
    </font>
    <font>
      <b/>
      <sz val="10"/>
      <color rgb="FF0070C0"/>
      <name val="Garamond"/>
      <family val="1"/>
    </font>
    <font>
      <sz val="10"/>
      <name val="Garamond"/>
      <family val="1"/>
    </font>
    <font>
      <sz val="10"/>
      <color rgb="FF0070C0"/>
      <name val="Garamond"/>
      <family val="1"/>
    </font>
    <font>
      <b/>
      <sz val="10"/>
      <color rgb="FFFFFFFF"/>
      <name val="Garamond"/>
      <family val="1"/>
    </font>
    <font>
      <sz val="10"/>
      <color rgb="FF0000FF"/>
      <name val="Garamond"/>
      <family val="1"/>
    </font>
    <font>
      <sz val="10"/>
      <color rgb="FF808080"/>
      <name val="Garamond"/>
      <family val="1"/>
    </font>
    <font>
      <b/>
      <sz val="12"/>
      <color rgb="FFFFFFFF"/>
      <name val="Garamond"/>
      <family val="1"/>
    </font>
    <font>
      <b/>
      <sz val="12"/>
      <color rgb="FF0000FF"/>
      <name val="Garamond"/>
      <family val="1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2"/>
      <color theme="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9">
    <xf numFmtId="0" fontId="0" fillId="0" borderId="0" xfId="0"/>
    <xf numFmtId="0" fontId="4" fillId="5" borderId="0" xfId="0" applyFont="1" applyFill="1" applyAlignment="1">
      <alignment horizontal="centerContinuous" vertical="center"/>
    </xf>
    <xf numFmtId="0" fontId="5" fillId="0" borderId="0" xfId="0" applyFont="1"/>
    <xf numFmtId="0" fontId="5" fillId="0" borderId="4" xfId="0" applyFont="1" applyBorder="1"/>
    <xf numFmtId="0" fontId="8" fillId="0" borderId="0" xfId="0" applyFont="1"/>
    <xf numFmtId="0" fontId="9" fillId="5" borderId="9" xfId="0" applyFont="1" applyFill="1" applyBorder="1"/>
    <xf numFmtId="0" fontId="9" fillId="5" borderId="10" xfId="0" applyFont="1" applyFill="1" applyBorder="1"/>
    <xf numFmtId="0" fontId="9" fillId="5" borderId="11" xfId="0" applyFont="1" applyFill="1" applyBorder="1"/>
    <xf numFmtId="0" fontId="8" fillId="0" borderId="4" xfId="0" applyFont="1" applyBorder="1"/>
    <xf numFmtId="43" fontId="8" fillId="0" borderId="0" xfId="0" applyNumberFormat="1" applyFont="1"/>
    <xf numFmtId="43" fontId="8" fillId="0" borderId="5" xfId="0" applyNumberFormat="1" applyFont="1" applyBorder="1"/>
    <xf numFmtId="9" fontId="8" fillId="0" borderId="0" xfId="3" applyFont="1" applyBorder="1"/>
    <xf numFmtId="9" fontId="8" fillId="0" borderId="5" xfId="3" applyFont="1" applyBorder="1"/>
    <xf numFmtId="0" fontId="8" fillId="0" borderId="9" xfId="0" applyFont="1" applyBorder="1"/>
    <xf numFmtId="166" fontId="8" fillId="0" borderId="10" xfId="3" applyNumberFormat="1" applyFont="1" applyBorder="1"/>
    <xf numFmtId="166" fontId="8" fillId="0" borderId="11" xfId="3" applyNumberFormat="1" applyFont="1" applyBorder="1"/>
    <xf numFmtId="0" fontId="8" fillId="0" borderId="6" xfId="0" applyFont="1" applyBorder="1"/>
    <xf numFmtId="9" fontId="8" fillId="0" borderId="7" xfId="3" applyFont="1" applyBorder="1"/>
    <xf numFmtId="9" fontId="8" fillId="0" borderId="8" xfId="3" applyFont="1" applyBorder="1"/>
    <xf numFmtId="0" fontId="8" fillId="0" borderId="5" xfId="0" applyFont="1" applyBorder="1"/>
    <xf numFmtId="0" fontId="9" fillId="5" borderId="1" xfId="0" applyFont="1" applyFill="1" applyBorder="1"/>
    <xf numFmtId="0" fontId="9" fillId="5" borderId="2" xfId="0" applyFont="1" applyFill="1" applyBorder="1"/>
    <xf numFmtId="0" fontId="9" fillId="5" borderId="3" xfId="0" applyFont="1" applyFill="1" applyBorder="1"/>
    <xf numFmtId="0" fontId="9" fillId="5" borderId="4" xfId="0" applyFont="1" applyFill="1" applyBorder="1"/>
    <xf numFmtId="0" fontId="9" fillId="5" borderId="0" xfId="0" applyFont="1" applyFill="1"/>
    <xf numFmtId="0" fontId="9" fillId="5" borderId="5" xfId="0" applyFont="1" applyFill="1" applyBorder="1"/>
    <xf numFmtId="4" fontId="8" fillId="0" borderId="0" xfId="0" applyNumberFormat="1" applyFont="1"/>
    <xf numFmtId="4" fontId="8" fillId="0" borderId="5" xfId="0" applyNumberFormat="1" applyFont="1" applyBorder="1"/>
    <xf numFmtId="3" fontId="8" fillId="0" borderId="0" xfId="0" applyNumberFormat="1" applyFont="1"/>
    <xf numFmtId="3" fontId="8" fillId="0" borderId="5" xfId="0" applyNumberFormat="1" applyFont="1" applyBorder="1"/>
    <xf numFmtId="43" fontId="8" fillId="0" borderId="10" xfId="0" applyNumberFormat="1" applyFont="1" applyBorder="1"/>
    <xf numFmtId="43" fontId="8" fillId="0" borderId="11" xfId="0" applyNumberFormat="1" applyFont="1" applyBorder="1"/>
    <xf numFmtId="4" fontId="8" fillId="0" borderId="10" xfId="0" applyNumberFormat="1" applyFont="1" applyBorder="1"/>
    <xf numFmtId="4" fontId="8" fillId="0" borderId="11" xfId="0" applyNumberFormat="1" applyFont="1" applyBorder="1"/>
    <xf numFmtId="4" fontId="9" fillId="5" borderId="0" xfId="0" applyNumberFormat="1" applyFont="1" applyFill="1"/>
    <xf numFmtId="4" fontId="9" fillId="5" borderId="5" xfId="0" applyNumberFormat="1" applyFont="1" applyFill="1" applyBorder="1"/>
    <xf numFmtId="44" fontId="8" fillId="0" borderId="0" xfId="0" applyNumberFormat="1" applyFont="1"/>
    <xf numFmtId="44" fontId="8" fillId="0" borderId="5" xfId="0" applyNumberFormat="1" applyFont="1" applyBorder="1"/>
    <xf numFmtId="1" fontId="8" fillId="0" borderId="0" xfId="0" applyNumberFormat="1" applyFont="1"/>
    <xf numFmtId="1" fontId="8" fillId="0" borderId="5" xfId="0" applyNumberFormat="1" applyFont="1" applyBorder="1"/>
    <xf numFmtId="165" fontId="8" fillId="0" borderId="5" xfId="0" applyNumberFormat="1" applyFont="1" applyBorder="1"/>
    <xf numFmtId="165" fontId="8" fillId="0" borderId="10" xfId="0" applyNumberFormat="1" applyFont="1" applyBorder="1"/>
    <xf numFmtId="165" fontId="8" fillId="0" borderId="11" xfId="0" applyNumberFormat="1" applyFont="1" applyBorder="1"/>
    <xf numFmtId="43" fontId="5" fillId="0" borderId="0" xfId="2" applyFont="1"/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4" xfId="0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right" vertical="center" wrapText="1"/>
    </xf>
    <xf numFmtId="4" fontId="5" fillId="0" borderId="5" xfId="0" applyNumberFormat="1" applyFont="1" applyBorder="1" applyAlignment="1">
      <alignment horizontal="right" vertical="center" wrapText="1"/>
    </xf>
    <xf numFmtId="0" fontId="11" fillId="2" borderId="4" xfId="0" applyFont="1" applyFill="1" applyBorder="1" applyAlignment="1">
      <alignment vertical="center"/>
    </xf>
    <xf numFmtId="44" fontId="5" fillId="2" borderId="0" xfId="0" applyNumberFormat="1" applyFont="1" applyFill="1" applyAlignment="1">
      <alignment horizontal="right" vertical="center" wrapText="1"/>
    </xf>
    <xf numFmtId="4" fontId="11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44" fontId="11" fillId="0" borderId="0" xfId="0" applyNumberFormat="1" applyFont="1" applyAlignment="1">
      <alignment vertical="center"/>
    </xf>
    <xf numFmtId="44" fontId="11" fillId="2" borderId="0" xfId="0" applyNumberFormat="1" applyFont="1" applyFill="1" applyAlignment="1">
      <alignment vertical="center"/>
    </xf>
    <xf numFmtId="0" fontId="11" fillId="4" borderId="4" xfId="0" applyFont="1" applyFill="1" applyBorder="1" applyAlignment="1">
      <alignment vertical="center"/>
    </xf>
    <xf numFmtId="44" fontId="11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1" fillId="3" borderId="4" xfId="0" applyFont="1" applyFill="1" applyBorder="1" applyAlignment="1">
      <alignment vertical="center"/>
    </xf>
    <xf numFmtId="4" fontId="11" fillId="3" borderId="0" xfId="0" applyNumberFormat="1" applyFont="1" applyFill="1" applyAlignment="1">
      <alignment vertical="center"/>
    </xf>
    <xf numFmtId="4" fontId="11" fillId="3" borderId="5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3" fontId="11" fillId="2" borderId="4" xfId="0" applyNumberFormat="1" applyFont="1" applyFill="1" applyBorder="1" applyAlignment="1">
      <alignment vertical="center"/>
    </xf>
    <xf numFmtId="3" fontId="11" fillId="2" borderId="0" xfId="0" applyNumberFormat="1" applyFont="1" applyFill="1" applyAlignment="1">
      <alignment vertical="center"/>
    </xf>
    <xf numFmtId="4" fontId="5" fillId="2" borderId="0" xfId="0" applyNumberFormat="1" applyFont="1" applyFill="1" applyAlignment="1">
      <alignment vertical="center"/>
    </xf>
    <xf numFmtId="4" fontId="5" fillId="3" borderId="0" xfId="0" applyNumberFormat="1" applyFont="1" applyFill="1" applyAlignment="1">
      <alignment vertical="center"/>
    </xf>
    <xf numFmtId="4" fontId="5" fillId="3" borderId="5" xfId="0" applyNumberFormat="1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6" fillId="5" borderId="0" xfId="0" applyFont="1" applyFill="1" applyAlignment="1">
      <alignment horizontal="right" vertical="center" wrapText="1"/>
    </xf>
    <xf numFmtId="0" fontId="6" fillId="5" borderId="5" xfId="0" applyFont="1" applyFill="1" applyBorder="1" applyAlignment="1">
      <alignment horizontal="right" vertical="center" wrapTex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17" fontId="7" fillId="5" borderId="2" xfId="0" applyNumberFormat="1" applyFont="1" applyFill="1" applyBorder="1" applyAlignment="1">
      <alignment horizontal="right" vertical="center" wrapText="1"/>
    </xf>
    <xf numFmtId="17" fontId="7" fillId="5" borderId="3" xfId="0" applyNumberFormat="1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17" fontId="7" fillId="5" borderId="0" xfId="0" applyNumberFormat="1" applyFont="1" applyFill="1" applyAlignment="1">
      <alignment horizontal="right" vertical="center" wrapText="1"/>
    </xf>
    <xf numFmtId="17" fontId="7" fillId="5" borderId="5" xfId="0" applyNumberFormat="1" applyFont="1" applyFill="1" applyBorder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  <xf numFmtId="43" fontId="8" fillId="0" borderId="0" xfId="2" applyFont="1"/>
    <xf numFmtId="0" fontId="12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44" fontId="14" fillId="0" borderId="5" xfId="1" applyFont="1" applyBorder="1"/>
    <xf numFmtId="0" fontId="12" fillId="0" borderId="0" xfId="0" applyFon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horizontal="right" vertical="center" wrapText="1"/>
    </xf>
    <xf numFmtId="4" fontId="8" fillId="0" borderId="5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3" fontId="8" fillId="0" borderId="0" xfId="0" applyNumberFormat="1" applyFont="1" applyAlignment="1">
      <alignment horizontal="right" vertical="center" wrapText="1"/>
    </xf>
    <xf numFmtId="44" fontId="8" fillId="0" borderId="5" xfId="1" applyFont="1" applyBorder="1"/>
    <xf numFmtId="0" fontId="8" fillId="0" borderId="7" xfId="0" applyFont="1" applyBorder="1" applyAlignment="1">
      <alignment vertical="center" wrapText="1"/>
    </xf>
    <xf numFmtId="44" fontId="8" fillId="0" borderId="8" xfId="1" applyFont="1" applyBorder="1"/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8" fillId="0" borderId="7" xfId="0" applyFont="1" applyBorder="1" applyAlignment="1">
      <alignment horizontal="right" vertical="center" wrapText="1"/>
    </xf>
    <xf numFmtId="3" fontId="12" fillId="0" borderId="7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vertical="center" wrapText="1"/>
    </xf>
    <xf numFmtId="43" fontId="8" fillId="2" borderId="9" xfId="2" applyFont="1" applyFill="1" applyBorder="1"/>
    <xf numFmtId="43" fontId="8" fillId="0" borderId="11" xfId="2" applyFont="1" applyBorder="1"/>
    <xf numFmtId="43" fontId="8" fillId="0" borderId="0" xfId="2" applyFont="1" applyBorder="1"/>
    <xf numFmtId="0" fontId="7" fillId="5" borderId="1" xfId="0" applyFont="1" applyFill="1" applyBorder="1"/>
    <xf numFmtId="0" fontId="7" fillId="5" borderId="2" xfId="0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5" borderId="11" xfId="0" applyFont="1" applyFill="1" applyBorder="1"/>
    <xf numFmtId="43" fontId="12" fillId="0" borderId="4" xfId="2" applyFont="1" applyBorder="1"/>
    <xf numFmtId="0" fontId="16" fillId="0" borderId="5" xfId="0" applyFont="1" applyBorder="1"/>
    <xf numFmtId="43" fontId="8" fillId="0" borderId="4" xfId="0" applyNumberFormat="1" applyFont="1" applyBorder="1" applyAlignment="1">
      <alignment horizontal="left"/>
    </xf>
    <xf numFmtId="167" fontId="8" fillId="0" borderId="0" xfId="0" applyNumberFormat="1" applyFont="1"/>
    <xf numFmtId="167" fontId="8" fillId="0" borderId="0" xfId="2" applyNumberFormat="1" applyFont="1" applyBorder="1"/>
    <xf numFmtId="167" fontId="8" fillId="0" borderId="5" xfId="0" applyNumberFormat="1" applyFont="1" applyBorder="1"/>
    <xf numFmtId="167" fontId="8" fillId="0" borderId="7" xfId="0" applyNumberFormat="1" applyFont="1" applyBorder="1"/>
    <xf numFmtId="167" fontId="8" fillId="0" borderId="7" xfId="2" applyNumberFormat="1" applyFont="1" applyBorder="1"/>
    <xf numFmtId="167" fontId="8" fillId="0" borderId="8" xfId="0" applyNumberFormat="1" applyFont="1" applyBorder="1"/>
    <xf numFmtId="0" fontId="12" fillId="0" borderId="9" xfId="0" applyFont="1" applyBorder="1"/>
    <xf numFmtId="167" fontId="12" fillId="0" borderId="10" xfId="0" applyNumberFormat="1" applyFont="1" applyBorder="1"/>
    <xf numFmtId="43" fontId="12" fillId="0" borderId="11" xfId="0" applyNumberFormat="1" applyFont="1" applyBorder="1"/>
    <xf numFmtId="0" fontId="8" fillId="0" borderId="7" xfId="0" applyFont="1" applyBorder="1"/>
    <xf numFmtId="43" fontId="12" fillId="0" borderId="6" xfId="2" applyFont="1" applyBorder="1"/>
    <xf numFmtId="0" fontId="16" fillId="0" borderId="8" xfId="0" applyFont="1" applyBorder="1"/>
    <xf numFmtId="167" fontId="17" fillId="0" borderId="10" xfId="0" applyNumberFormat="1" applyFont="1" applyBorder="1"/>
    <xf numFmtId="167" fontId="8" fillId="0" borderId="10" xfId="2" applyNumberFormat="1" applyFont="1" applyBorder="1"/>
    <xf numFmtId="167" fontId="8" fillId="0" borderId="11" xfId="2" applyNumberFormat="1" applyFont="1" applyBorder="1"/>
    <xf numFmtId="0" fontId="7" fillId="5" borderId="4" xfId="0" applyFont="1" applyFill="1" applyBorder="1"/>
    <xf numFmtId="0" fontId="7" fillId="5" borderId="0" xfId="0" applyFont="1" applyFill="1"/>
    <xf numFmtId="167" fontId="12" fillId="0" borderId="11" xfId="0" applyNumberFormat="1" applyFont="1" applyBorder="1"/>
    <xf numFmtId="10" fontId="8" fillId="0" borderId="8" xfId="3" applyNumberFormat="1" applyFont="1" applyBorder="1"/>
    <xf numFmtId="0" fontId="7" fillId="5" borderId="14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" xfId="0" applyFont="1" applyBorder="1"/>
    <xf numFmtId="0" fontId="8" fillId="0" borderId="3" xfId="0" applyFont="1" applyBorder="1"/>
    <xf numFmtId="0" fontId="8" fillId="0" borderId="12" xfId="0" applyFont="1" applyBorder="1"/>
    <xf numFmtId="167" fontId="12" fillId="0" borderId="10" xfId="2" applyNumberFormat="1" applyFont="1" applyBorder="1"/>
    <xf numFmtId="167" fontId="12" fillId="0" borderId="11" xfId="2" applyNumberFormat="1" applyFont="1" applyBorder="1"/>
    <xf numFmtId="165" fontId="18" fillId="4" borderId="0" xfId="0" applyNumberFormat="1" applyFont="1" applyFill="1"/>
    <xf numFmtId="10" fontId="8" fillId="0" borderId="5" xfId="0" applyNumberFormat="1" applyFont="1" applyBorder="1"/>
    <xf numFmtId="165" fontId="8" fillId="0" borderId="0" xfId="0" applyNumberFormat="1" applyFont="1"/>
    <xf numFmtId="10" fontId="8" fillId="0" borderId="0" xfId="3" applyNumberFormat="1" applyFont="1" applyBorder="1"/>
    <xf numFmtId="43" fontId="8" fillId="0" borderId="1" xfId="0" applyNumberFormat="1" applyFont="1" applyBorder="1"/>
    <xf numFmtId="167" fontId="8" fillId="0" borderId="2" xfId="0" applyNumberFormat="1" applyFont="1" applyBorder="1"/>
    <xf numFmtId="43" fontId="8" fillId="0" borderId="4" xfId="0" applyNumberFormat="1" applyFont="1" applyBorder="1"/>
    <xf numFmtId="9" fontId="18" fillId="0" borderId="0" xfId="0" applyNumberFormat="1" applyFont="1"/>
    <xf numFmtId="0" fontId="8" fillId="0" borderId="15" xfId="0" applyFont="1" applyBorder="1"/>
    <xf numFmtId="0" fontId="8" fillId="0" borderId="16" xfId="0" applyFont="1" applyBorder="1"/>
    <xf numFmtId="167" fontId="18" fillId="0" borderId="0" xfId="0" applyNumberFormat="1" applyFont="1"/>
    <xf numFmtId="0" fontId="8" fillId="0" borderId="10" xfId="0" applyFont="1" applyBorder="1"/>
    <xf numFmtId="0" fontId="8" fillId="0" borderId="11" xfId="0" applyFont="1" applyBorder="1"/>
    <xf numFmtId="0" fontId="8" fillId="0" borderId="13" xfId="0" applyFont="1" applyBorder="1"/>
    <xf numFmtId="0" fontId="8" fillId="3" borderId="9" xfId="0" applyFont="1" applyFill="1" applyBorder="1"/>
    <xf numFmtId="0" fontId="18" fillId="0" borderId="0" xfId="0" applyFont="1"/>
    <xf numFmtId="3" fontId="8" fillId="0" borderId="3" xfId="0" applyNumberFormat="1" applyFont="1" applyBorder="1"/>
    <xf numFmtId="9" fontId="8" fillId="0" borderId="11" xfId="3" applyFont="1" applyBorder="1"/>
    <xf numFmtId="3" fontId="8" fillId="3" borderId="11" xfId="0" applyNumberFormat="1" applyFont="1" applyFill="1" applyBorder="1"/>
    <xf numFmtId="167" fontId="8" fillId="0" borderId="11" xfId="0" applyNumberFormat="1" applyFont="1" applyBorder="1"/>
    <xf numFmtId="0" fontId="7" fillId="5" borderId="0" xfId="0" applyFont="1" applyFill="1" applyAlignment="1">
      <alignment horizontal="center"/>
    </xf>
    <xf numFmtId="43" fontId="8" fillId="0" borderId="0" xfId="2" applyFont="1" applyAlignment="1">
      <alignment horizontal="right"/>
    </xf>
    <xf numFmtId="0" fontId="8" fillId="3" borderId="0" xfId="0" applyFont="1" applyFill="1"/>
    <xf numFmtId="43" fontId="8" fillId="3" borderId="0" xfId="2" applyFont="1" applyFill="1" applyAlignment="1">
      <alignment horizontal="right"/>
    </xf>
    <xf numFmtId="0" fontId="8" fillId="4" borderId="0" xfId="0" applyFont="1" applyFill="1"/>
    <xf numFmtId="43" fontId="8" fillId="4" borderId="0" xfId="2" applyFont="1" applyFill="1" applyAlignment="1">
      <alignment horizontal="right"/>
    </xf>
    <xf numFmtId="43" fontId="8" fillId="3" borderId="0" xfId="2" applyFont="1" applyFill="1"/>
    <xf numFmtId="164" fontId="8" fillId="0" borderId="0" xfId="0" applyNumberFormat="1" applyFont="1"/>
    <xf numFmtId="164" fontId="5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2" fillId="0" borderId="4" xfId="0" applyFont="1" applyBorder="1"/>
    <xf numFmtId="3" fontId="8" fillId="0" borderId="0" xfId="0" applyNumberFormat="1" applyFont="1" applyAlignment="1">
      <alignment vertical="center" wrapText="1"/>
    </xf>
    <xf numFmtId="9" fontId="8" fillId="0" borderId="0" xfId="0" applyNumberFormat="1" applyFont="1" applyAlignment="1">
      <alignment vertical="center" wrapText="1"/>
    </xf>
    <xf numFmtId="9" fontId="8" fillId="0" borderId="5" xfId="0" applyNumberFormat="1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9" fontId="8" fillId="0" borderId="0" xfId="0" applyNumberFormat="1" applyFont="1"/>
    <xf numFmtId="9" fontId="8" fillId="0" borderId="5" xfId="0" applyNumberFormat="1" applyFont="1" applyBorder="1"/>
    <xf numFmtId="43" fontId="8" fillId="0" borderId="5" xfId="2" applyFont="1" applyBorder="1"/>
    <xf numFmtId="43" fontId="8" fillId="0" borderId="2" xfId="2" applyFont="1" applyBorder="1"/>
    <xf numFmtId="43" fontId="8" fillId="0" borderId="3" xfId="2" applyFont="1" applyBorder="1"/>
    <xf numFmtId="0" fontId="8" fillId="0" borderId="9" xfId="0" applyFont="1" applyBorder="1" applyAlignment="1">
      <alignment wrapText="1"/>
    </xf>
    <xf numFmtId="3" fontId="8" fillId="0" borderId="10" xfId="0" applyNumberFormat="1" applyFont="1" applyBorder="1"/>
    <xf numFmtId="3" fontId="8" fillId="0" borderId="11" xfId="0" applyNumberFormat="1" applyFont="1" applyBorder="1"/>
    <xf numFmtId="3" fontId="8" fillId="3" borderId="10" xfId="0" applyNumberFormat="1" applyFont="1" applyFill="1" applyBorder="1"/>
    <xf numFmtId="0" fontId="12" fillId="3" borderId="9" xfId="0" applyFont="1" applyFill="1" applyBorder="1"/>
    <xf numFmtId="167" fontId="16" fillId="3" borderId="10" xfId="0" applyNumberFormat="1" applyFont="1" applyFill="1" applyBorder="1"/>
    <xf numFmtId="167" fontId="12" fillId="3" borderId="10" xfId="0" applyNumberFormat="1" applyFont="1" applyFill="1" applyBorder="1"/>
    <xf numFmtId="167" fontId="12" fillId="3" borderId="11" xfId="0" applyNumberFormat="1" applyFont="1" applyFill="1" applyBorder="1"/>
    <xf numFmtId="0" fontId="12" fillId="3" borderId="10" xfId="0" applyFont="1" applyFill="1" applyBorder="1"/>
    <xf numFmtId="0" fontId="12" fillId="3" borderId="11" xfId="0" applyFont="1" applyFill="1" applyBorder="1"/>
    <xf numFmtId="9" fontId="8" fillId="0" borderId="10" xfId="3" applyFont="1" applyBorder="1"/>
    <xf numFmtId="0" fontId="17" fillId="0" borderId="9" xfId="0" applyFont="1" applyBorder="1"/>
    <xf numFmtId="4" fontId="17" fillId="0" borderId="10" xfId="0" applyNumberFormat="1" applyFont="1" applyBorder="1"/>
    <xf numFmtId="4" fontId="17" fillId="0" borderId="11" xfId="0" applyNumberFormat="1" applyFont="1" applyBorder="1"/>
    <xf numFmtId="166" fontId="8" fillId="0" borderId="0" xfId="3" applyNumberFormat="1" applyFont="1" applyBorder="1"/>
    <xf numFmtId="166" fontId="8" fillId="0" borderId="5" xfId="3" applyNumberFormat="1" applyFont="1" applyBorder="1"/>
    <xf numFmtId="43" fontId="8" fillId="0" borderId="10" xfId="2" applyFont="1" applyBorder="1"/>
    <xf numFmtId="0" fontId="12" fillId="0" borderId="9" xfId="0" applyFont="1" applyBorder="1" applyAlignment="1">
      <alignment vertical="center" wrapText="1"/>
    </xf>
    <xf numFmtId="6" fontId="8" fillId="0" borderId="10" xfId="0" applyNumberFormat="1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3" fontId="8" fillId="0" borderId="10" xfId="0" applyNumberFormat="1" applyFont="1" applyBorder="1" applyAlignment="1">
      <alignment vertical="center" wrapText="1"/>
    </xf>
    <xf numFmtId="0" fontId="19" fillId="5" borderId="0" xfId="0" applyFont="1" applyFill="1"/>
    <xf numFmtId="0" fontId="8" fillId="5" borderId="0" xfId="0" applyFont="1" applyFill="1"/>
    <xf numFmtId="0" fontId="12" fillId="0" borderId="0" xfId="0" applyFont="1"/>
    <xf numFmtId="0" fontId="12" fillId="6" borderId="0" xfId="0" applyFont="1" applyFill="1"/>
    <xf numFmtId="0" fontId="8" fillId="6" borderId="0" xfId="0" applyFont="1" applyFill="1"/>
    <xf numFmtId="0" fontId="12" fillId="6" borderId="0" xfId="0" applyFont="1" applyFill="1" applyAlignment="1">
      <alignment horizontal="center"/>
    </xf>
    <xf numFmtId="168" fontId="20" fillId="0" borderId="0" xfId="0" applyNumberFormat="1" applyFont="1" applyAlignment="1">
      <alignment horizontal="center"/>
    </xf>
    <xf numFmtId="0" fontId="21" fillId="0" borderId="0" xfId="0" applyFont="1"/>
    <xf numFmtId="166" fontId="20" fillId="0" borderId="0" xfId="0" applyNumberFormat="1" applyFont="1" applyAlignment="1">
      <alignment horizontal="center"/>
    </xf>
    <xf numFmtId="0" fontId="8" fillId="0" borderId="17" xfId="0" applyFont="1" applyBorder="1"/>
    <xf numFmtId="9" fontId="18" fillId="0" borderId="0" xfId="3" applyFont="1"/>
    <xf numFmtId="166" fontId="18" fillId="0" borderId="0" xfId="0" applyNumberFormat="1" applyFont="1"/>
    <xf numFmtId="167" fontId="18" fillId="0" borderId="10" xfId="0" applyNumberFormat="1" applyFont="1" applyBorder="1"/>
    <xf numFmtId="43" fontId="12" fillId="0" borderId="10" xfId="0" applyNumberFormat="1" applyFont="1" applyBorder="1"/>
    <xf numFmtId="43" fontId="16" fillId="3" borderId="0" xfId="2" applyFont="1" applyFill="1"/>
    <xf numFmtId="0" fontId="0" fillId="5" borderId="0" xfId="0" applyFill="1"/>
    <xf numFmtId="0" fontId="0" fillId="0" borderId="17" xfId="0" applyBorder="1"/>
    <xf numFmtId="0" fontId="22" fillId="5" borderId="0" xfId="0" applyFont="1" applyFill="1"/>
    <xf numFmtId="0" fontId="23" fillId="3" borderId="0" xfId="0" applyFont="1" applyFill="1" applyAlignment="1">
      <alignment horizontal="center"/>
    </xf>
    <xf numFmtId="0" fontId="8" fillId="5" borderId="5" xfId="0" applyFont="1" applyFill="1" applyBorder="1"/>
    <xf numFmtId="0" fontId="0" fillId="6" borderId="0" xfId="0" applyFill="1"/>
    <xf numFmtId="9" fontId="8" fillId="0" borderId="0" xfId="3" applyFont="1" applyFill="1" applyBorder="1"/>
    <xf numFmtId="43" fontId="15" fillId="0" borderId="0" xfId="0" applyNumberFormat="1" applyFont="1"/>
    <xf numFmtId="2" fontId="8" fillId="0" borderId="0" xfId="0" applyNumberFormat="1" applyFont="1"/>
    <xf numFmtId="9" fontId="16" fillId="0" borderId="0" xfId="3" applyFont="1" applyBorder="1"/>
    <xf numFmtId="169" fontId="8" fillId="0" borderId="0" xfId="0" applyNumberFormat="1" applyFont="1"/>
    <xf numFmtId="166" fontId="8" fillId="0" borderId="0" xfId="0" applyNumberFormat="1" applyFont="1"/>
    <xf numFmtId="169" fontId="12" fillId="0" borderId="0" xfId="0" applyNumberFormat="1" applyFont="1"/>
    <xf numFmtId="0" fontId="12" fillId="3" borderId="0" xfId="0" applyFont="1" applyFill="1"/>
    <xf numFmtId="166" fontId="12" fillId="3" borderId="0" xfId="0" applyNumberFormat="1" applyFont="1" applyFill="1"/>
    <xf numFmtId="0" fontId="26" fillId="5" borderId="0" xfId="0" applyFont="1" applyFill="1" applyAlignment="1">
      <alignment horizontal="right"/>
    </xf>
    <xf numFmtId="170" fontId="5" fillId="0" borderId="0" xfId="0" applyNumberFormat="1" applyFont="1"/>
    <xf numFmtId="0" fontId="5" fillId="6" borderId="0" xfId="0" applyFont="1" applyFill="1"/>
    <xf numFmtId="10" fontId="20" fillId="0" borderId="0" xfId="0" applyNumberFormat="1" applyFont="1"/>
    <xf numFmtId="2" fontId="20" fillId="0" borderId="0" xfId="0" applyNumberFormat="1" applyFont="1"/>
    <xf numFmtId="10" fontId="8" fillId="0" borderId="0" xfId="0" applyNumberFormat="1" applyFont="1"/>
    <xf numFmtId="10" fontId="12" fillId="0" borderId="0" xfId="0" applyNumberFormat="1" applyFont="1"/>
    <xf numFmtId="3" fontId="20" fillId="0" borderId="0" xfId="0" applyNumberFormat="1" applyFont="1"/>
    <xf numFmtId="10" fontId="12" fillId="3" borderId="0" xfId="0" applyNumberFormat="1" applyFont="1" applyFill="1"/>
    <xf numFmtId="0" fontId="25" fillId="0" borderId="4" xfId="0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4" fillId="0" borderId="6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9" fontId="8" fillId="0" borderId="0" xfId="3" applyFont="1" applyBorder="1" applyAlignment="1">
      <alignment horizontal="lef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3" dropStyle="combo" dx="22" fmlaLink="$C$3" fmlaRange="$B$51:$B$53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48</xdr:row>
      <xdr:rowOff>117547</xdr:rowOff>
    </xdr:from>
    <xdr:to>
      <xdr:col>9</xdr:col>
      <xdr:colOff>1670958</xdr:colOff>
      <xdr:row>76</xdr:row>
      <xdr:rowOff>20057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7F31E-1D38-F9D6-F57E-A0711212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9833047"/>
          <a:ext cx="7632366" cy="443641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1609725</xdr:colOff>
          <xdr:row>1</xdr:row>
          <xdr:rowOff>247650</xdr:rowOff>
        </xdr:from>
        <xdr:to>
          <xdr:col>3</xdr:col>
          <xdr:colOff>1098688</xdr:colOff>
          <xdr:row>3</xdr:row>
          <xdr:rowOff>47625</xdr:rowOff>
        </xdr:to>
        <xdr:sp macro="" textlink="">
          <xdr:nvSpPr>
            <xdr:cNvPr id="7172" name="Drop Dow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1FFADE-8B54-43D4-994F-C6C37C95EFA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85F6-B296-48B5-A81C-ADE024FE03F4}">
  <dimension ref="A2:M129"/>
  <sheetViews>
    <sheetView showGridLines="0" workbookViewId="0">
      <selection activeCell="J11" sqref="J11:K11"/>
    </sheetView>
  </sheetViews>
  <sheetFormatPr defaultRowHeight="15" x14ac:dyDescent="0.25"/>
  <cols>
    <col min="1" max="1" width="9.140625" style="2"/>
    <col min="2" max="2" width="70.140625" style="2" bestFit="1" customWidth="1"/>
    <col min="3" max="4" width="12.5703125" style="2" bestFit="1" customWidth="1"/>
    <col min="5" max="7" width="13.7109375" style="2" bestFit="1" customWidth="1"/>
    <col min="8" max="8" width="9.140625" style="2"/>
    <col min="9" max="9" width="13.7109375" style="2" bestFit="1" customWidth="1"/>
    <col min="10" max="16384" width="9.140625" style="2"/>
  </cols>
  <sheetData>
    <row r="2" spans="1:13" ht="26.25" x14ac:dyDescent="0.25">
      <c r="B2" s="1" t="s">
        <v>535</v>
      </c>
      <c r="C2" s="1"/>
      <c r="D2" s="1"/>
      <c r="E2" s="1"/>
      <c r="F2" s="1"/>
      <c r="G2" s="1"/>
    </row>
    <row r="3" spans="1:13" s="4" customFormat="1" ht="6" customHeight="1" x14ac:dyDescent="0.25">
      <c r="A3" s="2"/>
    </row>
    <row r="4" spans="1:13" s="4" customFormat="1" x14ac:dyDescent="0.25">
      <c r="A4" s="2"/>
      <c r="B4" s="176" t="s">
        <v>182</v>
      </c>
      <c r="C4" s="176" t="s">
        <v>33</v>
      </c>
      <c r="D4" s="176" t="s">
        <v>32</v>
      </c>
      <c r="E4" s="176" t="s">
        <v>31</v>
      </c>
      <c r="F4" s="176" t="s">
        <v>30</v>
      </c>
      <c r="G4" s="176" t="s">
        <v>29</v>
      </c>
    </row>
    <row r="5" spans="1:13" s="4" customFormat="1" x14ac:dyDescent="0.25">
      <c r="A5" s="2"/>
      <c r="B5" s="4" t="s">
        <v>183</v>
      </c>
      <c r="C5" s="185">
        <v>104560</v>
      </c>
      <c r="D5" s="185">
        <v>122757</v>
      </c>
      <c r="E5" s="185">
        <v>134001</v>
      </c>
      <c r="F5" s="185">
        <v>34427</v>
      </c>
      <c r="G5" s="185">
        <v>34087</v>
      </c>
      <c r="I5" s="183"/>
      <c r="J5" s="183"/>
      <c r="K5" s="183"/>
      <c r="L5" s="183"/>
      <c r="M5" s="183"/>
    </row>
    <row r="6" spans="1:13" s="4" customFormat="1" x14ac:dyDescent="0.25">
      <c r="A6" s="2"/>
      <c r="B6" s="4" t="s">
        <v>184</v>
      </c>
      <c r="C6" s="185">
        <v>14078</v>
      </c>
      <c r="D6" s="185">
        <v>14218</v>
      </c>
      <c r="E6" s="185">
        <v>13999</v>
      </c>
      <c r="F6" s="185">
        <v>7264</v>
      </c>
      <c r="G6" s="185">
        <v>6130</v>
      </c>
      <c r="I6" s="183"/>
      <c r="J6" s="183"/>
      <c r="K6" s="183"/>
      <c r="L6" s="183"/>
      <c r="M6" s="183"/>
    </row>
    <row r="7" spans="1:13" s="4" customFormat="1" x14ac:dyDescent="0.25">
      <c r="A7" s="2"/>
      <c r="B7" s="4" t="s">
        <v>185</v>
      </c>
      <c r="C7" s="185">
        <v>5312</v>
      </c>
      <c r="D7" s="185">
        <v>3780</v>
      </c>
      <c r="E7" s="185">
        <v>3731</v>
      </c>
      <c r="F7" s="185">
        <v>3905</v>
      </c>
      <c r="G7" s="185">
        <v>2091</v>
      </c>
      <c r="I7" s="183"/>
      <c r="J7" s="183"/>
      <c r="K7" s="183"/>
      <c r="L7" s="183"/>
      <c r="M7" s="183"/>
    </row>
    <row r="8" spans="1:13" s="4" customFormat="1" x14ac:dyDescent="0.25">
      <c r="A8" s="2"/>
      <c r="B8" s="4" t="s">
        <v>186</v>
      </c>
      <c r="C8" s="185">
        <v>5312</v>
      </c>
      <c r="D8" s="185">
        <v>3780</v>
      </c>
      <c r="E8" s="185">
        <v>3731</v>
      </c>
      <c r="F8" s="185">
        <v>3905</v>
      </c>
      <c r="G8" s="185">
        <v>2091</v>
      </c>
      <c r="I8" s="183"/>
      <c r="J8" s="183"/>
      <c r="K8" s="183"/>
      <c r="L8" s="183"/>
      <c r="M8" s="183"/>
    </row>
    <row r="9" spans="1:13" s="4" customFormat="1" x14ac:dyDescent="0.25">
      <c r="A9" s="2"/>
      <c r="B9" s="4" t="s">
        <v>187</v>
      </c>
      <c r="C9" s="185">
        <v>5926</v>
      </c>
      <c r="D9" s="185">
        <v>7312</v>
      </c>
      <c r="E9" s="185">
        <v>7611</v>
      </c>
      <c r="F9" s="185">
        <v>2446</v>
      </c>
      <c r="G9" s="185">
        <v>2537</v>
      </c>
      <c r="I9" s="183"/>
      <c r="J9" s="183"/>
      <c r="K9" s="183"/>
      <c r="L9" s="183"/>
      <c r="M9" s="183"/>
    </row>
    <row r="10" spans="1:13" s="4" customFormat="1" x14ac:dyDescent="0.25">
      <c r="A10" s="2"/>
      <c r="B10" s="4" t="s">
        <v>188</v>
      </c>
      <c r="C10" s="185">
        <v>4947</v>
      </c>
      <c r="D10" s="185">
        <v>6047</v>
      </c>
      <c r="E10" s="185">
        <v>6380</v>
      </c>
      <c r="F10" s="185">
        <v>2446</v>
      </c>
      <c r="G10" s="185">
        <v>2537</v>
      </c>
      <c r="I10" s="183"/>
      <c r="J10" s="183"/>
      <c r="K10" s="183"/>
      <c r="L10" s="183"/>
      <c r="M10" s="183"/>
    </row>
    <row r="11" spans="1:13" s="4" customFormat="1" x14ac:dyDescent="0.25">
      <c r="A11" s="2"/>
      <c r="B11" s="4" t="s">
        <v>189</v>
      </c>
      <c r="C11" s="4" t="s">
        <v>49</v>
      </c>
      <c r="D11" s="4" t="s">
        <v>49</v>
      </c>
      <c r="E11" s="4" t="s">
        <v>49</v>
      </c>
      <c r="F11" s="185">
        <v>2500</v>
      </c>
      <c r="G11" s="4" t="s">
        <v>49</v>
      </c>
      <c r="I11" s="183"/>
      <c r="J11" s="183"/>
      <c r="K11" s="183"/>
      <c r="L11" s="183"/>
      <c r="M11" s="183"/>
    </row>
    <row r="12" spans="1:13" s="4" customFormat="1" x14ac:dyDescent="0.25">
      <c r="A12" s="2"/>
      <c r="B12" s="4" t="s">
        <v>190</v>
      </c>
      <c r="C12" s="4" t="s">
        <v>49</v>
      </c>
      <c r="D12" s="4" t="s">
        <v>49</v>
      </c>
      <c r="E12" s="4" t="s">
        <v>49</v>
      </c>
      <c r="F12" s="185">
        <v>-54</v>
      </c>
      <c r="G12" s="4" t="s">
        <v>49</v>
      </c>
      <c r="I12" s="183"/>
      <c r="J12" s="183"/>
      <c r="K12" s="183"/>
      <c r="L12" s="183"/>
      <c r="M12" s="183"/>
    </row>
    <row r="13" spans="1:13" s="4" customFormat="1" x14ac:dyDescent="0.25">
      <c r="A13" s="2"/>
      <c r="B13" s="4" t="s">
        <v>191</v>
      </c>
      <c r="C13" s="185">
        <v>979</v>
      </c>
      <c r="D13" s="185">
        <v>1265</v>
      </c>
      <c r="E13" s="185">
        <v>1231</v>
      </c>
      <c r="F13" s="4" t="s">
        <v>49</v>
      </c>
      <c r="G13" s="4" t="s">
        <v>49</v>
      </c>
      <c r="I13" s="183"/>
      <c r="J13" s="183"/>
      <c r="K13" s="183"/>
      <c r="L13" s="183"/>
      <c r="M13" s="183"/>
    </row>
    <row r="14" spans="1:13" s="4" customFormat="1" x14ac:dyDescent="0.25">
      <c r="A14" s="2"/>
      <c r="B14" s="4" t="s">
        <v>192</v>
      </c>
      <c r="C14" s="185">
        <v>784</v>
      </c>
      <c r="D14" s="185">
        <v>843</v>
      </c>
      <c r="E14" s="4" t="s">
        <v>49</v>
      </c>
      <c r="F14" s="4" t="s">
        <v>49</v>
      </c>
      <c r="G14" s="4" t="s">
        <v>49</v>
      </c>
      <c r="I14" s="183"/>
      <c r="J14" s="183"/>
      <c r="K14" s="183"/>
      <c r="L14" s="183"/>
      <c r="M14" s="183"/>
    </row>
    <row r="15" spans="1:13" s="4" customFormat="1" x14ac:dyDescent="0.25">
      <c r="A15" s="2"/>
      <c r="B15" s="4" t="s">
        <v>193</v>
      </c>
      <c r="C15" s="185">
        <v>2056</v>
      </c>
      <c r="D15" s="185">
        <v>2283</v>
      </c>
      <c r="E15" s="185">
        <v>2657</v>
      </c>
      <c r="F15" s="185">
        <v>913</v>
      </c>
      <c r="G15" s="185">
        <v>1502</v>
      </c>
      <c r="I15" s="183"/>
      <c r="J15" s="183"/>
      <c r="K15" s="183"/>
      <c r="L15" s="183"/>
      <c r="M15" s="183"/>
    </row>
    <row r="16" spans="1:13" s="4" customFormat="1" x14ac:dyDescent="0.25">
      <c r="A16" s="2"/>
      <c r="B16" s="4" t="s">
        <v>194</v>
      </c>
      <c r="C16" s="4" t="s">
        <v>49</v>
      </c>
      <c r="D16" s="4" t="s">
        <v>49</v>
      </c>
      <c r="E16" s="4" t="s">
        <v>49</v>
      </c>
      <c r="F16" s="4" t="s">
        <v>49</v>
      </c>
      <c r="G16" s="4" t="s">
        <v>49</v>
      </c>
      <c r="I16" s="183"/>
      <c r="J16" s="183"/>
      <c r="K16" s="183"/>
      <c r="L16" s="183"/>
      <c r="M16" s="183"/>
    </row>
    <row r="17" spans="1:13" s="4" customFormat="1" x14ac:dyDescent="0.25">
      <c r="A17" s="2"/>
      <c r="B17" s="4" t="s">
        <v>195</v>
      </c>
      <c r="C17" s="185">
        <v>90482</v>
      </c>
      <c r="D17" s="185">
        <v>108539</v>
      </c>
      <c r="E17" s="185">
        <v>120002</v>
      </c>
      <c r="F17" s="185">
        <v>27163</v>
      </c>
      <c r="G17" s="185">
        <v>27957</v>
      </c>
      <c r="I17" s="183"/>
      <c r="J17" s="183"/>
      <c r="K17" s="183"/>
      <c r="L17" s="183"/>
      <c r="M17" s="183"/>
    </row>
    <row r="18" spans="1:13" s="4" customFormat="1" x14ac:dyDescent="0.25">
      <c r="A18" s="2"/>
      <c r="B18" s="4" t="s">
        <v>196</v>
      </c>
      <c r="C18" s="185">
        <v>6087</v>
      </c>
      <c r="D18" s="185">
        <v>5957</v>
      </c>
      <c r="E18" s="185">
        <v>5301</v>
      </c>
      <c r="F18" s="185">
        <v>1336</v>
      </c>
      <c r="G18" s="185">
        <v>1206</v>
      </c>
      <c r="I18" s="183"/>
      <c r="J18" s="183"/>
      <c r="K18" s="183"/>
      <c r="L18" s="183"/>
      <c r="M18" s="183"/>
    </row>
    <row r="19" spans="1:13" s="4" customFormat="1" x14ac:dyDescent="0.25">
      <c r="A19" s="2"/>
      <c r="B19" s="4" t="s">
        <v>197</v>
      </c>
      <c r="C19" s="185">
        <v>10122</v>
      </c>
      <c r="D19" s="185">
        <v>9042</v>
      </c>
      <c r="E19" s="185">
        <v>7356</v>
      </c>
      <c r="F19" s="185">
        <v>2665</v>
      </c>
      <c r="G19" s="185">
        <v>2569</v>
      </c>
      <c r="I19" s="183"/>
      <c r="J19" s="183"/>
      <c r="K19" s="183"/>
      <c r="L19" s="183"/>
      <c r="M19" s="183"/>
    </row>
    <row r="20" spans="1:13" s="4" customFormat="1" x14ac:dyDescent="0.25">
      <c r="A20" s="2"/>
      <c r="B20" s="4" t="s">
        <v>198</v>
      </c>
      <c r="C20" s="185">
        <v>3832</v>
      </c>
      <c r="D20" s="185">
        <v>4013</v>
      </c>
      <c r="E20" s="185">
        <v>3251</v>
      </c>
      <c r="F20" s="185">
        <v>481</v>
      </c>
      <c r="G20" s="185">
        <v>334</v>
      </c>
      <c r="I20" s="183"/>
      <c r="J20" s="183"/>
      <c r="K20" s="183"/>
      <c r="L20" s="183"/>
      <c r="M20" s="183"/>
    </row>
    <row r="21" spans="1:13" s="4" customFormat="1" x14ac:dyDescent="0.25">
      <c r="A21" s="2"/>
      <c r="B21" s="4" t="s">
        <v>199</v>
      </c>
      <c r="C21" s="185">
        <v>5689</v>
      </c>
      <c r="D21" s="185">
        <v>4685</v>
      </c>
      <c r="E21" s="185">
        <v>3537</v>
      </c>
      <c r="F21" s="185">
        <v>1371</v>
      </c>
      <c r="G21" s="185">
        <v>1491</v>
      </c>
      <c r="I21" s="183"/>
      <c r="J21" s="183"/>
      <c r="K21" s="183"/>
      <c r="L21" s="183"/>
      <c r="M21" s="183"/>
    </row>
    <row r="22" spans="1:13" s="4" customFormat="1" x14ac:dyDescent="0.25">
      <c r="A22" s="2"/>
      <c r="B22" s="4" t="s">
        <v>200</v>
      </c>
      <c r="C22" s="185">
        <v>5689</v>
      </c>
      <c r="D22" s="185">
        <v>4685</v>
      </c>
      <c r="E22" s="185">
        <v>3537</v>
      </c>
      <c r="F22" s="185">
        <v>1371</v>
      </c>
      <c r="G22" s="185">
        <v>1491</v>
      </c>
      <c r="I22" s="183"/>
      <c r="J22" s="183"/>
      <c r="K22" s="183"/>
      <c r="L22" s="183"/>
      <c r="M22" s="183"/>
    </row>
    <row r="23" spans="1:13" s="4" customFormat="1" x14ac:dyDescent="0.25">
      <c r="A23" s="2"/>
      <c r="B23" s="4" t="s">
        <v>201</v>
      </c>
      <c r="C23" s="185">
        <v>601</v>
      </c>
      <c r="D23" s="185">
        <v>344</v>
      </c>
      <c r="E23" s="185">
        <v>568</v>
      </c>
      <c r="F23" s="185">
        <v>141</v>
      </c>
      <c r="G23" s="4" t="s">
        <v>49</v>
      </c>
      <c r="I23" s="183"/>
      <c r="J23" s="183"/>
      <c r="K23" s="183"/>
      <c r="L23" s="183"/>
      <c r="M23" s="183"/>
    </row>
    <row r="24" spans="1:13" s="4" customFormat="1" x14ac:dyDescent="0.25">
      <c r="A24" s="2"/>
      <c r="B24" s="4" t="s">
        <v>202</v>
      </c>
      <c r="C24" s="4" t="s">
        <v>49</v>
      </c>
      <c r="D24" s="4" t="s">
        <v>49</v>
      </c>
      <c r="E24" s="4" t="s">
        <v>49</v>
      </c>
      <c r="F24" s="185">
        <v>672</v>
      </c>
      <c r="G24" s="185">
        <v>744</v>
      </c>
      <c r="I24" s="183"/>
      <c r="J24" s="183"/>
      <c r="K24" s="183"/>
      <c r="L24" s="183"/>
      <c r="M24" s="183"/>
    </row>
    <row r="25" spans="1:13" s="4" customFormat="1" x14ac:dyDescent="0.25">
      <c r="A25" s="2"/>
      <c r="B25" s="4" t="s">
        <v>203</v>
      </c>
      <c r="C25" s="185">
        <v>-4035</v>
      </c>
      <c r="D25" s="185">
        <v>-3085</v>
      </c>
      <c r="E25" s="185">
        <v>-2055</v>
      </c>
      <c r="F25" s="185">
        <v>-1329</v>
      </c>
      <c r="G25" s="185">
        <v>-1363</v>
      </c>
      <c r="I25" s="183"/>
      <c r="J25" s="183"/>
      <c r="K25" s="183"/>
      <c r="L25" s="183"/>
      <c r="M25" s="183"/>
    </row>
    <row r="26" spans="1:13" s="4" customFormat="1" x14ac:dyDescent="0.25">
      <c r="A26" s="2"/>
      <c r="B26" s="4" t="s">
        <v>204</v>
      </c>
      <c r="C26" s="185">
        <v>-4035</v>
      </c>
      <c r="D26" s="185">
        <v>-3085</v>
      </c>
      <c r="E26" s="185">
        <v>-2055</v>
      </c>
      <c r="F26" s="185">
        <v>-1329</v>
      </c>
      <c r="G26" s="185">
        <v>-1363</v>
      </c>
      <c r="I26" s="183"/>
      <c r="J26" s="183"/>
      <c r="K26" s="183"/>
      <c r="L26" s="183"/>
      <c r="M26" s="183"/>
    </row>
    <row r="27" spans="1:13" s="4" customFormat="1" x14ac:dyDescent="0.25">
      <c r="A27" s="2"/>
      <c r="B27" s="4" t="s">
        <v>205</v>
      </c>
      <c r="C27" s="185">
        <v>77068</v>
      </c>
      <c r="D27" s="185">
        <v>94483</v>
      </c>
      <c r="E27" s="185">
        <v>106072</v>
      </c>
      <c r="F27" s="185">
        <v>23061</v>
      </c>
      <c r="G27" s="185">
        <v>24149</v>
      </c>
      <c r="I27" s="183"/>
      <c r="J27" s="183"/>
      <c r="K27" s="183"/>
      <c r="L27" s="183"/>
      <c r="M27" s="183"/>
    </row>
    <row r="28" spans="1:13" s="4" customFormat="1" x14ac:dyDescent="0.25">
      <c r="A28" s="2"/>
      <c r="B28" s="4" t="s">
        <v>206</v>
      </c>
      <c r="C28" s="185">
        <v>112125</v>
      </c>
      <c r="D28" s="185">
        <v>114554</v>
      </c>
      <c r="E28" s="185">
        <v>119165</v>
      </c>
      <c r="F28" s="185">
        <v>30069</v>
      </c>
      <c r="G28" s="185">
        <v>28393</v>
      </c>
      <c r="I28" s="183"/>
      <c r="J28" s="183"/>
      <c r="K28" s="183"/>
      <c r="L28" s="183"/>
      <c r="M28" s="183"/>
    </row>
    <row r="29" spans="1:13" s="4" customFormat="1" x14ac:dyDescent="0.25">
      <c r="A29" s="2"/>
      <c r="B29" s="4" t="s">
        <v>207</v>
      </c>
      <c r="C29" s="185">
        <v>36467</v>
      </c>
      <c r="D29" s="185">
        <v>36569</v>
      </c>
      <c r="E29" s="185">
        <v>36038</v>
      </c>
      <c r="F29" s="185">
        <v>14532</v>
      </c>
      <c r="G29" s="185">
        <v>13070</v>
      </c>
      <c r="I29" s="183"/>
      <c r="J29" s="183"/>
      <c r="K29" s="183"/>
      <c r="L29" s="183"/>
      <c r="M29" s="183"/>
    </row>
    <row r="30" spans="1:13" s="4" customFormat="1" x14ac:dyDescent="0.25">
      <c r="A30" s="2"/>
      <c r="B30" s="4" t="s">
        <v>208</v>
      </c>
      <c r="C30" s="185">
        <v>75658</v>
      </c>
      <c r="D30" s="185">
        <v>77985</v>
      </c>
      <c r="E30" s="185">
        <v>83127</v>
      </c>
      <c r="F30" s="185">
        <v>15537</v>
      </c>
      <c r="G30" s="185">
        <v>15323</v>
      </c>
      <c r="I30" s="183"/>
      <c r="J30" s="183"/>
      <c r="K30" s="183"/>
      <c r="L30" s="183"/>
      <c r="M30" s="183"/>
    </row>
    <row r="31" spans="1:13" s="4" customFormat="1" x14ac:dyDescent="0.25">
      <c r="A31" s="2"/>
      <c r="B31" s="4" t="s">
        <v>209</v>
      </c>
      <c r="C31" s="185">
        <v>22835</v>
      </c>
      <c r="D31" s="185">
        <v>22935</v>
      </c>
      <c r="E31" s="185">
        <v>22876</v>
      </c>
      <c r="F31" s="185">
        <v>1877</v>
      </c>
      <c r="G31" s="185">
        <v>1912</v>
      </c>
      <c r="I31" s="183"/>
      <c r="J31" s="183"/>
      <c r="K31" s="183"/>
      <c r="L31" s="183"/>
      <c r="M31" s="183"/>
    </row>
    <row r="32" spans="1:13" s="4" customFormat="1" x14ac:dyDescent="0.25">
      <c r="A32" s="2"/>
      <c r="B32" s="4" t="s">
        <v>210</v>
      </c>
      <c r="C32" s="185">
        <v>27997</v>
      </c>
      <c r="D32" s="185">
        <v>30124</v>
      </c>
      <c r="E32" s="185">
        <v>35547</v>
      </c>
      <c r="F32" s="185">
        <v>3832</v>
      </c>
      <c r="G32" s="185">
        <v>3439</v>
      </c>
      <c r="I32" s="183"/>
      <c r="J32" s="183"/>
      <c r="K32" s="183"/>
      <c r="L32" s="183"/>
      <c r="M32" s="183"/>
    </row>
    <row r="33" spans="1:13" s="4" customFormat="1" x14ac:dyDescent="0.25">
      <c r="A33" s="2"/>
      <c r="B33" s="4" t="s">
        <v>211</v>
      </c>
      <c r="C33" s="185">
        <v>24240</v>
      </c>
      <c r="D33" s="185">
        <v>24335</v>
      </c>
      <c r="E33" s="185">
        <v>24136</v>
      </c>
      <c r="F33" s="185">
        <v>9433</v>
      </c>
      <c r="G33" s="185">
        <v>9551</v>
      </c>
      <c r="I33" s="183"/>
      <c r="J33" s="183"/>
      <c r="K33" s="183"/>
      <c r="L33" s="183"/>
      <c r="M33" s="183"/>
    </row>
    <row r="34" spans="1:13" s="4" customFormat="1" x14ac:dyDescent="0.25">
      <c r="A34" s="2"/>
      <c r="B34" s="4" t="s">
        <v>212</v>
      </c>
      <c r="C34" s="185">
        <v>586</v>
      </c>
      <c r="D34" s="185">
        <v>591</v>
      </c>
      <c r="E34" s="185">
        <v>568</v>
      </c>
      <c r="F34" s="185">
        <v>395</v>
      </c>
      <c r="G34" s="185">
        <v>421</v>
      </c>
      <c r="I34" s="183"/>
      <c r="J34" s="183"/>
      <c r="K34" s="183"/>
      <c r="L34" s="183"/>
      <c r="M34" s="183"/>
    </row>
    <row r="35" spans="1:13" s="4" customFormat="1" x14ac:dyDescent="0.25">
      <c r="A35" s="2"/>
      <c r="B35" s="4" t="s">
        <v>213</v>
      </c>
      <c r="C35" s="185">
        <v>-35057</v>
      </c>
      <c r="D35" s="185">
        <v>-20071</v>
      </c>
      <c r="E35" s="185">
        <v>-13093</v>
      </c>
      <c r="F35" s="185">
        <v>-7008</v>
      </c>
      <c r="G35" s="185">
        <v>-4244</v>
      </c>
      <c r="I35" s="183"/>
      <c r="J35" s="183"/>
      <c r="K35" s="183"/>
      <c r="L35" s="183"/>
      <c r="M35" s="183"/>
    </row>
    <row r="36" spans="1:13" s="4" customFormat="1" x14ac:dyDescent="0.25">
      <c r="A36" s="2"/>
      <c r="B36" s="4" t="s">
        <v>214</v>
      </c>
      <c r="C36" s="185">
        <v>-24257</v>
      </c>
      <c r="D36" s="185">
        <v>-18471</v>
      </c>
      <c r="E36" s="185">
        <v>-11493</v>
      </c>
      <c r="F36" s="185">
        <v>-5388</v>
      </c>
      <c r="G36" s="185">
        <v>-4244</v>
      </c>
      <c r="I36" s="183"/>
      <c r="J36" s="183"/>
      <c r="K36" s="183"/>
      <c r="L36" s="183"/>
      <c r="M36" s="183"/>
    </row>
    <row r="37" spans="1:13" s="4" customFormat="1" x14ac:dyDescent="0.25">
      <c r="A37" s="2"/>
      <c r="B37" s="4" t="s">
        <v>215</v>
      </c>
      <c r="C37" s="185">
        <v>-24257</v>
      </c>
      <c r="D37" s="185">
        <v>-18471</v>
      </c>
      <c r="E37" s="185">
        <v>-11493</v>
      </c>
      <c r="F37" s="185">
        <v>-5388</v>
      </c>
      <c r="G37" s="185">
        <v>-4244</v>
      </c>
      <c r="I37" s="183"/>
      <c r="J37" s="183"/>
      <c r="K37" s="183"/>
      <c r="L37" s="183"/>
      <c r="M37" s="183"/>
    </row>
    <row r="38" spans="1:13" s="4" customFormat="1" x14ac:dyDescent="0.25">
      <c r="A38" s="2"/>
      <c r="B38" s="4" t="s">
        <v>216</v>
      </c>
      <c r="C38" s="185">
        <v>-4212</v>
      </c>
      <c r="D38" s="185">
        <v>-2688</v>
      </c>
      <c r="E38" s="185">
        <v>-1494</v>
      </c>
      <c r="F38" s="185">
        <v>-858</v>
      </c>
      <c r="G38" s="185">
        <v>-715</v>
      </c>
      <c r="I38" s="183"/>
      <c r="J38" s="183"/>
      <c r="K38" s="183"/>
      <c r="L38" s="183"/>
      <c r="M38" s="183"/>
    </row>
    <row r="39" spans="1:13" s="4" customFormat="1" x14ac:dyDescent="0.25">
      <c r="A39" s="2"/>
      <c r="B39" s="4" t="s">
        <v>217</v>
      </c>
      <c r="C39" s="185">
        <v>-986</v>
      </c>
      <c r="D39" s="185">
        <v>-551</v>
      </c>
      <c r="E39" s="185">
        <v>-217</v>
      </c>
      <c r="F39" s="4" t="s">
        <v>49</v>
      </c>
      <c r="G39" s="4" t="s">
        <v>49</v>
      </c>
      <c r="I39" s="183"/>
      <c r="J39" s="183"/>
      <c r="K39" s="183"/>
      <c r="L39" s="183"/>
      <c r="M39" s="183"/>
    </row>
    <row r="40" spans="1:13" s="4" customFormat="1" x14ac:dyDescent="0.25">
      <c r="A40" s="2"/>
      <c r="B40" s="4" t="s">
        <v>218</v>
      </c>
      <c r="C40" s="185">
        <v>-18528</v>
      </c>
      <c r="D40" s="185">
        <v>-14730</v>
      </c>
      <c r="E40" s="185">
        <v>-9458</v>
      </c>
      <c r="F40" s="185">
        <v>-4303</v>
      </c>
      <c r="G40" s="185">
        <v>-3338</v>
      </c>
      <c r="I40" s="183"/>
      <c r="J40" s="183"/>
      <c r="K40" s="183"/>
      <c r="L40" s="183"/>
      <c r="M40" s="183"/>
    </row>
    <row r="41" spans="1:13" s="4" customFormat="1" x14ac:dyDescent="0.25">
      <c r="A41" s="2"/>
      <c r="B41" s="4" t="s">
        <v>219</v>
      </c>
      <c r="C41" s="185">
        <v>-531</v>
      </c>
      <c r="D41" s="185">
        <v>-502</v>
      </c>
      <c r="E41" s="185">
        <v>-324</v>
      </c>
      <c r="F41" s="185">
        <v>-227</v>
      </c>
      <c r="G41" s="185">
        <v>-191</v>
      </c>
      <c r="I41" s="183"/>
      <c r="J41" s="183"/>
      <c r="K41" s="183"/>
      <c r="L41" s="183"/>
      <c r="M41" s="183"/>
    </row>
    <row r="42" spans="1:13" s="4" customFormat="1" x14ac:dyDescent="0.25">
      <c r="A42" s="2"/>
      <c r="B42" s="4" t="s">
        <v>220</v>
      </c>
      <c r="C42" s="185">
        <v>-10800</v>
      </c>
      <c r="D42" s="185">
        <v>-1600</v>
      </c>
      <c r="E42" s="185">
        <v>-1600</v>
      </c>
      <c r="F42" s="185">
        <v>-1620</v>
      </c>
      <c r="G42" s="4" t="s">
        <v>49</v>
      </c>
      <c r="I42" s="183"/>
      <c r="J42" s="183"/>
      <c r="K42" s="183"/>
      <c r="L42" s="183"/>
      <c r="M42" s="183"/>
    </row>
    <row r="43" spans="1:13" s="4" customFormat="1" x14ac:dyDescent="0.25">
      <c r="A43" s="2"/>
      <c r="B43" s="4" t="s">
        <v>221</v>
      </c>
      <c r="C43" s="185">
        <v>-10800</v>
      </c>
      <c r="D43" s="185">
        <v>-1600</v>
      </c>
      <c r="E43" s="185">
        <v>-1600</v>
      </c>
      <c r="F43" s="185">
        <v>-1620</v>
      </c>
      <c r="G43" s="4" t="s">
        <v>49</v>
      </c>
      <c r="I43" s="183"/>
      <c r="J43" s="183"/>
      <c r="K43" s="183"/>
      <c r="L43" s="183"/>
      <c r="M43" s="183"/>
    </row>
    <row r="44" spans="1:13" s="4" customFormat="1" x14ac:dyDescent="0.25">
      <c r="A44" s="2"/>
      <c r="B44" s="4" t="s">
        <v>222</v>
      </c>
      <c r="C44" s="185">
        <v>7327</v>
      </c>
      <c r="D44" s="185">
        <v>8099</v>
      </c>
      <c r="E44" s="185">
        <v>8629</v>
      </c>
      <c r="F44" s="185">
        <v>2223</v>
      </c>
      <c r="G44" s="185">
        <v>2095</v>
      </c>
      <c r="I44" s="183"/>
      <c r="J44" s="183"/>
      <c r="K44" s="183"/>
      <c r="L44" s="183"/>
      <c r="M44" s="183"/>
    </row>
    <row r="45" spans="1:13" s="4" customFormat="1" x14ac:dyDescent="0.25">
      <c r="A45" s="2"/>
      <c r="B45" s="4" t="s">
        <v>223</v>
      </c>
      <c r="C45" s="4" t="s">
        <v>49</v>
      </c>
      <c r="D45" s="4" t="s">
        <v>49</v>
      </c>
      <c r="E45" s="4" t="s">
        <v>49</v>
      </c>
      <c r="F45" s="185">
        <v>543</v>
      </c>
      <c r="G45" s="185">
        <v>507</v>
      </c>
      <c r="I45" s="183"/>
      <c r="J45" s="183"/>
      <c r="K45" s="183"/>
      <c r="L45" s="183"/>
      <c r="M45" s="183"/>
    </row>
    <row r="46" spans="1:13" s="4" customFormat="1" x14ac:dyDescent="0.25">
      <c r="A46" s="2"/>
      <c r="B46" s="4" t="s">
        <v>224</v>
      </c>
      <c r="C46" s="4" t="s">
        <v>49</v>
      </c>
      <c r="D46" s="4" t="s">
        <v>49</v>
      </c>
      <c r="E46" s="4" t="s">
        <v>49</v>
      </c>
      <c r="F46" s="185">
        <v>543</v>
      </c>
      <c r="G46" s="185">
        <v>507</v>
      </c>
      <c r="I46" s="183"/>
      <c r="J46" s="183"/>
      <c r="K46" s="183"/>
      <c r="L46" s="183"/>
      <c r="M46" s="183"/>
    </row>
    <row r="47" spans="1:13" s="4" customFormat="1" x14ac:dyDescent="0.25">
      <c r="A47" s="2"/>
      <c r="B47" s="4" t="s">
        <v>225</v>
      </c>
      <c r="C47" s="185">
        <v>69622</v>
      </c>
      <c r="D47" s="185">
        <v>76285</v>
      </c>
      <c r="E47" s="185">
        <v>85334</v>
      </c>
      <c r="F47" s="185">
        <v>21031</v>
      </c>
      <c r="G47" s="185">
        <v>21704</v>
      </c>
      <c r="I47" s="183"/>
      <c r="J47" s="183"/>
      <c r="K47" s="183"/>
      <c r="L47" s="183"/>
      <c r="M47" s="183"/>
    </row>
    <row r="48" spans="1:13" s="4" customFormat="1" x14ac:dyDescent="0.25">
      <c r="A48" s="2"/>
      <c r="B48" s="4" t="s">
        <v>226</v>
      </c>
      <c r="C48" s="185">
        <v>15810</v>
      </c>
      <c r="D48" s="185">
        <v>15332</v>
      </c>
      <c r="E48" s="185">
        <v>15017</v>
      </c>
      <c r="F48" s="185">
        <v>3459</v>
      </c>
      <c r="G48" s="185">
        <v>3082</v>
      </c>
      <c r="I48" s="183"/>
      <c r="J48" s="183"/>
      <c r="K48" s="183"/>
      <c r="L48" s="183"/>
      <c r="M48" s="183"/>
    </row>
    <row r="49" spans="1:13" s="4" customFormat="1" x14ac:dyDescent="0.25">
      <c r="A49" s="2"/>
      <c r="B49" s="4" t="s">
        <v>227</v>
      </c>
      <c r="C49" s="185">
        <v>11493</v>
      </c>
      <c r="D49" s="185">
        <v>11628</v>
      </c>
      <c r="E49" s="185">
        <v>12958</v>
      </c>
      <c r="F49" s="185">
        <v>2642</v>
      </c>
      <c r="G49" s="185">
        <v>2190</v>
      </c>
      <c r="I49" s="183"/>
      <c r="J49" s="183"/>
      <c r="K49" s="183"/>
      <c r="L49" s="183"/>
      <c r="M49" s="183"/>
    </row>
    <row r="50" spans="1:13" s="4" customFormat="1" x14ac:dyDescent="0.25">
      <c r="A50" s="2"/>
      <c r="B50" s="4" t="s">
        <v>228</v>
      </c>
      <c r="C50" s="185">
        <v>1055</v>
      </c>
      <c r="D50" s="185">
        <v>3378</v>
      </c>
      <c r="E50" s="185">
        <v>1454</v>
      </c>
      <c r="F50" s="185">
        <v>1184</v>
      </c>
      <c r="G50" s="185">
        <v>925</v>
      </c>
      <c r="I50" s="183"/>
      <c r="J50" s="183"/>
      <c r="K50" s="183"/>
      <c r="L50" s="183"/>
      <c r="M50" s="183"/>
    </row>
    <row r="51" spans="1:13" s="4" customFormat="1" x14ac:dyDescent="0.25">
      <c r="A51" s="2"/>
      <c r="B51" s="4" t="s">
        <v>229</v>
      </c>
      <c r="C51" s="185">
        <v>1055</v>
      </c>
      <c r="D51" s="185">
        <v>1260</v>
      </c>
      <c r="E51" s="185">
        <v>1454</v>
      </c>
      <c r="F51" s="185">
        <v>412</v>
      </c>
      <c r="G51" s="185">
        <v>397</v>
      </c>
      <c r="I51" s="183"/>
      <c r="J51" s="183"/>
      <c r="K51" s="183"/>
      <c r="L51" s="183"/>
      <c r="M51" s="183"/>
    </row>
    <row r="52" spans="1:13" s="4" customFormat="1" x14ac:dyDescent="0.25">
      <c r="A52" s="2"/>
      <c r="B52" s="4" t="s">
        <v>230</v>
      </c>
      <c r="C52" s="4" t="s">
        <v>49</v>
      </c>
      <c r="D52" s="185">
        <v>2118</v>
      </c>
      <c r="E52" s="4" t="s">
        <v>49</v>
      </c>
      <c r="F52" s="185">
        <v>772</v>
      </c>
      <c r="G52" s="185">
        <v>528</v>
      </c>
      <c r="I52" s="183"/>
      <c r="J52" s="183"/>
      <c r="K52" s="183"/>
      <c r="L52" s="183"/>
      <c r="M52" s="183"/>
    </row>
    <row r="53" spans="1:13" s="4" customFormat="1" x14ac:dyDescent="0.25">
      <c r="A53" s="2"/>
      <c r="B53" s="4" t="s">
        <v>231</v>
      </c>
      <c r="C53" s="4" t="s">
        <v>49</v>
      </c>
      <c r="D53" s="4" t="s">
        <v>49</v>
      </c>
      <c r="E53" s="4" t="s">
        <v>49</v>
      </c>
      <c r="F53" s="4" t="s">
        <v>49</v>
      </c>
      <c r="G53" s="4" t="s">
        <v>49</v>
      </c>
      <c r="I53" s="183"/>
      <c r="J53" s="183"/>
      <c r="K53" s="183"/>
      <c r="L53" s="183"/>
      <c r="M53" s="183"/>
    </row>
    <row r="54" spans="1:13" s="4" customFormat="1" x14ac:dyDescent="0.25">
      <c r="A54" s="2"/>
      <c r="B54" s="4" t="s">
        <v>232</v>
      </c>
      <c r="C54" s="4" t="s">
        <v>49</v>
      </c>
      <c r="D54" s="4" t="s">
        <v>49</v>
      </c>
      <c r="E54" s="4" t="s">
        <v>49</v>
      </c>
      <c r="F54" s="4" t="s">
        <v>49</v>
      </c>
      <c r="G54" s="4" t="s">
        <v>49</v>
      </c>
      <c r="I54" s="183"/>
      <c r="J54" s="183"/>
      <c r="K54" s="183"/>
      <c r="L54" s="183"/>
      <c r="M54" s="183"/>
    </row>
    <row r="55" spans="1:13" s="4" customFormat="1" x14ac:dyDescent="0.25">
      <c r="A55" s="2"/>
      <c r="B55" s="4" t="s">
        <v>233</v>
      </c>
      <c r="C55" s="185">
        <v>10438</v>
      </c>
      <c r="D55" s="185">
        <v>8250</v>
      </c>
      <c r="E55" s="185">
        <v>11504</v>
      </c>
      <c r="F55" s="185">
        <v>1458</v>
      </c>
      <c r="G55" s="185">
        <v>1265</v>
      </c>
      <c r="I55" s="183"/>
      <c r="J55" s="183"/>
      <c r="K55" s="183"/>
      <c r="L55" s="183"/>
      <c r="M55" s="183"/>
    </row>
    <row r="56" spans="1:13" s="4" customFormat="1" x14ac:dyDescent="0.25">
      <c r="A56" s="2"/>
      <c r="B56" s="4" t="s">
        <v>234</v>
      </c>
      <c r="C56" s="185">
        <v>2748</v>
      </c>
      <c r="D56" s="185">
        <v>1780</v>
      </c>
      <c r="E56" s="185">
        <v>365</v>
      </c>
      <c r="F56" s="185">
        <v>339</v>
      </c>
      <c r="G56" s="185">
        <v>335</v>
      </c>
      <c r="I56" s="183"/>
      <c r="J56" s="183"/>
      <c r="K56" s="183"/>
      <c r="L56" s="183"/>
      <c r="M56" s="183"/>
    </row>
    <row r="57" spans="1:13" s="4" customFormat="1" x14ac:dyDescent="0.25">
      <c r="A57" s="2"/>
      <c r="B57" s="4" t="s">
        <v>235</v>
      </c>
      <c r="C57" s="185">
        <v>2748</v>
      </c>
      <c r="D57" s="185">
        <v>1780</v>
      </c>
      <c r="E57" s="185">
        <v>365</v>
      </c>
      <c r="F57" s="185">
        <v>339</v>
      </c>
      <c r="G57" s="185">
        <v>335</v>
      </c>
      <c r="I57" s="183"/>
      <c r="J57" s="183"/>
      <c r="K57" s="183"/>
      <c r="L57" s="183"/>
      <c r="M57" s="183"/>
    </row>
    <row r="58" spans="1:13" s="4" customFormat="1" x14ac:dyDescent="0.25">
      <c r="A58" s="2"/>
      <c r="B58" s="4" t="s">
        <v>236</v>
      </c>
      <c r="C58" s="185">
        <v>2748</v>
      </c>
      <c r="D58" s="185">
        <v>1780</v>
      </c>
      <c r="E58" s="185">
        <v>365</v>
      </c>
      <c r="F58" s="185">
        <v>339</v>
      </c>
      <c r="G58" s="185">
        <v>335</v>
      </c>
      <c r="I58" s="183"/>
      <c r="J58" s="183"/>
      <c r="K58" s="183"/>
      <c r="L58" s="183"/>
      <c r="M58" s="183"/>
    </row>
    <row r="59" spans="1:13" s="4" customFormat="1" x14ac:dyDescent="0.25">
      <c r="A59" s="2"/>
      <c r="B59" s="4" t="s">
        <v>237</v>
      </c>
      <c r="C59" s="185">
        <v>2748</v>
      </c>
      <c r="D59" s="185">
        <v>1780</v>
      </c>
      <c r="E59" s="185">
        <v>365</v>
      </c>
      <c r="F59" s="185">
        <v>339</v>
      </c>
      <c r="G59" s="185">
        <v>335</v>
      </c>
      <c r="I59" s="183"/>
      <c r="J59" s="183"/>
      <c r="K59" s="183"/>
      <c r="L59" s="183"/>
      <c r="M59" s="183"/>
    </row>
    <row r="60" spans="1:13" s="4" customFormat="1" x14ac:dyDescent="0.25">
      <c r="A60" s="2"/>
      <c r="B60" s="4" t="s">
        <v>238</v>
      </c>
      <c r="C60" s="185">
        <v>2748</v>
      </c>
      <c r="D60" s="4" t="s">
        <v>49</v>
      </c>
      <c r="E60" s="4" t="s">
        <v>49</v>
      </c>
      <c r="F60" s="185">
        <v>339</v>
      </c>
      <c r="G60" s="185">
        <v>335</v>
      </c>
      <c r="I60" s="183"/>
      <c r="J60" s="183"/>
      <c r="K60" s="183"/>
      <c r="L60" s="183"/>
      <c r="M60" s="183"/>
    </row>
    <row r="61" spans="1:13" s="4" customFormat="1" x14ac:dyDescent="0.25">
      <c r="A61" s="2"/>
      <c r="B61" s="4" t="s">
        <v>239</v>
      </c>
      <c r="C61" s="185">
        <v>1569</v>
      </c>
      <c r="D61" s="185">
        <v>1924</v>
      </c>
      <c r="E61" s="185">
        <v>1694</v>
      </c>
      <c r="F61" s="185">
        <v>478</v>
      </c>
      <c r="G61" s="185">
        <v>557</v>
      </c>
      <c r="I61" s="183"/>
      <c r="J61" s="183"/>
      <c r="K61" s="183"/>
      <c r="L61" s="183"/>
      <c r="M61" s="183"/>
    </row>
    <row r="62" spans="1:13" s="4" customFormat="1" x14ac:dyDescent="0.25">
      <c r="A62" s="2"/>
      <c r="B62" s="4" t="s">
        <v>240</v>
      </c>
      <c r="C62" s="185">
        <v>1569</v>
      </c>
      <c r="D62" s="185">
        <v>1924</v>
      </c>
      <c r="E62" s="185">
        <v>1694</v>
      </c>
      <c r="F62" s="185">
        <v>478</v>
      </c>
      <c r="G62" s="185">
        <v>557</v>
      </c>
      <c r="I62" s="183"/>
      <c r="J62" s="183"/>
      <c r="K62" s="183"/>
      <c r="L62" s="183"/>
      <c r="M62" s="183"/>
    </row>
    <row r="63" spans="1:13" s="4" customFormat="1" x14ac:dyDescent="0.25">
      <c r="A63" s="2"/>
      <c r="B63" s="4" t="s">
        <v>241</v>
      </c>
      <c r="C63" s="4" t="s">
        <v>49</v>
      </c>
      <c r="D63" s="4" t="s">
        <v>49</v>
      </c>
      <c r="E63" s="4" t="s">
        <v>49</v>
      </c>
      <c r="F63" s="4" t="s">
        <v>49</v>
      </c>
      <c r="G63" s="4" t="s">
        <v>49</v>
      </c>
      <c r="I63" s="183"/>
      <c r="J63" s="183"/>
      <c r="K63" s="183"/>
      <c r="L63" s="183"/>
      <c r="M63" s="183"/>
    </row>
    <row r="64" spans="1:13" s="4" customFormat="1" x14ac:dyDescent="0.25">
      <c r="A64" s="2"/>
      <c r="B64" s="4" t="s">
        <v>242</v>
      </c>
      <c r="C64" s="185">
        <v>53812</v>
      </c>
      <c r="D64" s="185">
        <v>60953</v>
      </c>
      <c r="E64" s="185">
        <v>70317</v>
      </c>
      <c r="F64" s="185">
        <v>17572</v>
      </c>
      <c r="G64" s="185">
        <v>18622</v>
      </c>
      <c r="I64" s="183"/>
      <c r="J64" s="183"/>
      <c r="K64" s="183"/>
      <c r="L64" s="183"/>
      <c r="M64" s="183"/>
    </row>
    <row r="65" spans="1:13" s="4" customFormat="1" x14ac:dyDescent="0.25">
      <c r="A65" s="2"/>
      <c r="B65" s="4" t="s">
        <v>243</v>
      </c>
      <c r="C65" s="185">
        <v>36757</v>
      </c>
      <c r="D65" s="185">
        <v>41889</v>
      </c>
      <c r="E65" s="185">
        <v>48634</v>
      </c>
      <c r="F65" s="185">
        <v>14420</v>
      </c>
      <c r="G65" s="185">
        <v>15069</v>
      </c>
      <c r="I65" s="183"/>
      <c r="J65" s="183"/>
      <c r="K65" s="183"/>
      <c r="L65" s="183"/>
      <c r="M65" s="183"/>
    </row>
    <row r="66" spans="1:13" s="4" customFormat="1" x14ac:dyDescent="0.25">
      <c r="A66" s="2"/>
      <c r="B66" s="4" t="s">
        <v>244</v>
      </c>
      <c r="C66" s="185">
        <v>36757</v>
      </c>
      <c r="D66" s="185">
        <v>41889</v>
      </c>
      <c r="E66" s="185">
        <v>48634</v>
      </c>
      <c r="F66" s="185">
        <v>14420</v>
      </c>
      <c r="G66" s="185">
        <v>15069</v>
      </c>
      <c r="I66" s="183"/>
      <c r="J66" s="183"/>
      <c r="K66" s="183"/>
      <c r="L66" s="183"/>
      <c r="M66" s="183"/>
    </row>
    <row r="67" spans="1:13" s="4" customFormat="1" x14ac:dyDescent="0.25">
      <c r="A67" s="2"/>
      <c r="B67" s="4" t="s">
        <v>245</v>
      </c>
      <c r="C67" s="185">
        <v>36757</v>
      </c>
      <c r="D67" s="185">
        <v>41889</v>
      </c>
      <c r="E67" s="185">
        <v>48634</v>
      </c>
      <c r="F67" s="185">
        <v>14420</v>
      </c>
      <c r="G67" s="185">
        <v>15069</v>
      </c>
      <c r="I67" s="183"/>
      <c r="J67" s="183"/>
      <c r="K67" s="183"/>
      <c r="L67" s="183"/>
      <c r="M67" s="183"/>
    </row>
    <row r="68" spans="1:13" s="4" customFormat="1" x14ac:dyDescent="0.25">
      <c r="A68" s="2"/>
      <c r="B68" s="4" t="s">
        <v>246</v>
      </c>
      <c r="C68" s="185">
        <v>36757</v>
      </c>
      <c r="D68" s="4" t="s">
        <v>49</v>
      </c>
      <c r="E68" s="4" t="s">
        <v>49</v>
      </c>
      <c r="F68" s="185">
        <v>14420</v>
      </c>
      <c r="G68" s="185">
        <v>15069</v>
      </c>
      <c r="I68" s="183"/>
      <c r="J68" s="183"/>
      <c r="K68" s="183"/>
      <c r="L68" s="183"/>
      <c r="M68" s="183"/>
    </row>
    <row r="69" spans="1:13" s="4" customFormat="1" x14ac:dyDescent="0.25">
      <c r="A69" s="2"/>
      <c r="B69" s="4" t="s">
        <v>247</v>
      </c>
      <c r="C69" s="185">
        <v>6985</v>
      </c>
      <c r="D69" s="185">
        <v>8736</v>
      </c>
      <c r="E69" s="185">
        <v>11014</v>
      </c>
      <c r="F69" s="185">
        <v>1225</v>
      </c>
      <c r="G69" s="185">
        <v>1534</v>
      </c>
      <c r="I69" s="183"/>
      <c r="J69" s="183"/>
      <c r="K69" s="183"/>
      <c r="L69" s="183"/>
      <c r="M69" s="183"/>
    </row>
    <row r="70" spans="1:13" s="4" customFormat="1" x14ac:dyDescent="0.25">
      <c r="A70" s="2"/>
      <c r="B70" s="4" t="s">
        <v>248</v>
      </c>
      <c r="C70" s="185">
        <v>6985</v>
      </c>
      <c r="D70" s="185">
        <v>8736</v>
      </c>
      <c r="E70" s="185">
        <v>11014</v>
      </c>
      <c r="F70" s="185">
        <v>1225</v>
      </c>
      <c r="G70" s="185">
        <v>1534</v>
      </c>
      <c r="I70" s="183"/>
      <c r="J70" s="183"/>
      <c r="K70" s="183"/>
      <c r="L70" s="183"/>
      <c r="M70" s="183"/>
    </row>
    <row r="71" spans="1:13" s="4" customFormat="1" x14ac:dyDescent="0.25">
      <c r="A71" s="2"/>
      <c r="B71" s="4" t="s">
        <v>249</v>
      </c>
      <c r="C71" s="185">
        <v>10070</v>
      </c>
      <c r="D71" s="185">
        <v>10328</v>
      </c>
      <c r="E71" s="185">
        <v>10669</v>
      </c>
      <c r="F71" s="185">
        <v>1927</v>
      </c>
      <c r="G71" s="185">
        <v>2019</v>
      </c>
      <c r="I71" s="183"/>
      <c r="J71" s="183"/>
      <c r="K71" s="183"/>
      <c r="L71" s="183"/>
      <c r="M71" s="183"/>
    </row>
    <row r="72" spans="1:13" s="4" customFormat="1" x14ac:dyDescent="0.25">
      <c r="A72" s="2"/>
      <c r="B72" s="4" t="s">
        <v>250</v>
      </c>
      <c r="C72" s="185">
        <v>34938</v>
      </c>
      <c r="D72" s="185">
        <v>46472</v>
      </c>
      <c r="E72" s="185">
        <v>48667</v>
      </c>
      <c r="F72" s="185">
        <v>13396</v>
      </c>
      <c r="G72" s="185">
        <v>12383</v>
      </c>
      <c r="I72" s="183"/>
      <c r="J72" s="183"/>
      <c r="K72" s="183"/>
      <c r="L72" s="183"/>
      <c r="M72" s="183"/>
    </row>
    <row r="73" spans="1:13" s="4" customFormat="1" x14ac:dyDescent="0.25">
      <c r="A73" s="2"/>
      <c r="B73" s="4" t="s">
        <v>251</v>
      </c>
      <c r="C73" s="185">
        <v>34037</v>
      </c>
      <c r="D73" s="185">
        <v>45226</v>
      </c>
      <c r="E73" s="185">
        <v>47095</v>
      </c>
      <c r="F73" s="185">
        <v>11599</v>
      </c>
      <c r="G73" s="185">
        <v>10464</v>
      </c>
      <c r="I73" s="183"/>
      <c r="J73" s="183"/>
      <c r="K73" s="183"/>
      <c r="L73" s="183"/>
      <c r="M73" s="183"/>
    </row>
    <row r="74" spans="1:13" s="4" customFormat="1" x14ac:dyDescent="0.25">
      <c r="A74" s="2"/>
      <c r="B74" s="4" t="s">
        <v>252</v>
      </c>
      <c r="C74" s="185">
        <v>47343</v>
      </c>
      <c r="D74" s="185">
        <v>46895</v>
      </c>
      <c r="E74" s="185">
        <v>46413</v>
      </c>
      <c r="F74" s="185">
        <v>2849</v>
      </c>
      <c r="G74" s="185">
        <v>2572</v>
      </c>
      <c r="I74" s="183"/>
      <c r="J74" s="183"/>
      <c r="K74" s="183"/>
      <c r="L74" s="183"/>
      <c r="M74" s="183"/>
    </row>
    <row r="75" spans="1:13" s="4" customFormat="1" x14ac:dyDescent="0.25">
      <c r="A75" s="2"/>
      <c r="B75" s="4" t="s">
        <v>253</v>
      </c>
      <c r="C75" s="185">
        <v>55587</v>
      </c>
      <c r="D75" s="185">
        <v>55139</v>
      </c>
      <c r="E75" s="185">
        <v>54657</v>
      </c>
      <c r="F75" s="185">
        <v>11093</v>
      </c>
      <c r="G75" s="185">
        <v>10816</v>
      </c>
      <c r="I75" s="183"/>
      <c r="J75" s="183"/>
      <c r="K75" s="183"/>
      <c r="L75" s="183"/>
      <c r="M75" s="183"/>
    </row>
    <row r="76" spans="1:13" s="4" customFormat="1" x14ac:dyDescent="0.25">
      <c r="A76" s="2"/>
      <c r="B76" s="4" t="s">
        <v>254</v>
      </c>
      <c r="C76" s="185">
        <v>27</v>
      </c>
      <c r="D76" s="185">
        <v>27</v>
      </c>
      <c r="E76" s="185">
        <v>27</v>
      </c>
      <c r="F76" s="185">
        <v>7</v>
      </c>
      <c r="G76" s="185">
        <v>7</v>
      </c>
      <c r="I76" s="183"/>
      <c r="J76" s="183"/>
      <c r="K76" s="183"/>
      <c r="L76" s="183"/>
      <c r="M76" s="183"/>
    </row>
    <row r="77" spans="1:13" s="4" customFormat="1" x14ac:dyDescent="0.25">
      <c r="A77" s="2"/>
      <c r="B77" s="4" t="s">
        <v>255</v>
      </c>
      <c r="C77" s="185">
        <v>0</v>
      </c>
      <c r="D77" s="185">
        <v>0</v>
      </c>
      <c r="E77" s="185">
        <v>0</v>
      </c>
      <c r="F77" s="185">
        <v>0</v>
      </c>
      <c r="G77" s="185">
        <v>0</v>
      </c>
      <c r="I77" s="183"/>
      <c r="J77" s="183"/>
      <c r="K77" s="183"/>
      <c r="L77" s="183"/>
      <c r="M77" s="183"/>
    </row>
    <row r="78" spans="1:13" s="4" customFormat="1" x14ac:dyDescent="0.25">
      <c r="A78" s="2"/>
      <c r="B78" s="4" t="s">
        <v>256</v>
      </c>
      <c r="C78" s="185">
        <v>55560</v>
      </c>
      <c r="D78" s="185">
        <v>55112</v>
      </c>
      <c r="E78" s="185">
        <v>54630</v>
      </c>
      <c r="F78" s="185">
        <v>11086</v>
      </c>
      <c r="G78" s="185">
        <v>10809</v>
      </c>
      <c r="I78" s="183"/>
      <c r="J78" s="183"/>
      <c r="K78" s="183"/>
      <c r="L78" s="183"/>
      <c r="M78" s="183"/>
    </row>
    <row r="79" spans="1:13" s="4" customFormat="1" x14ac:dyDescent="0.25">
      <c r="A79" s="2"/>
      <c r="B79" s="4" t="s">
        <v>257</v>
      </c>
      <c r="C79" s="185">
        <v>-8244</v>
      </c>
      <c r="D79" s="185">
        <v>-8244</v>
      </c>
      <c r="E79" s="185">
        <v>-8244</v>
      </c>
      <c r="F79" s="185">
        <v>-8244</v>
      </c>
      <c r="G79" s="185">
        <v>-8244</v>
      </c>
      <c r="I79" s="183"/>
      <c r="J79" s="183"/>
      <c r="K79" s="183"/>
      <c r="L79" s="183"/>
      <c r="M79" s="183"/>
    </row>
    <row r="80" spans="1:13" s="4" customFormat="1" x14ac:dyDescent="0.25">
      <c r="A80" s="2"/>
      <c r="B80" s="4" t="s">
        <v>258</v>
      </c>
      <c r="C80" s="185">
        <v>-12239</v>
      </c>
      <c r="D80" s="185">
        <v>-928</v>
      </c>
      <c r="E80" s="185">
        <v>2205</v>
      </c>
      <c r="F80" s="185">
        <v>9580</v>
      </c>
      <c r="G80" s="185">
        <v>8543</v>
      </c>
      <c r="I80" s="183"/>
      <c r="J80" s="183"/>
      <c r="K80" s="183"/>
      <c r="L80" s="183"/>
      <c r="M80" s="183"/>
    </row>
    <row r="81" spans="1:13" s="4" customFormat="1" x14ac:dyDescent="0.25">
      <c r="A81" s="2"/>
      <c r="B81" s="4" t="s">
        <v>259</v>
      </c>
      <c r="C81" s="185">
        <v>-1067</v>
      </c>
      <c r="D81" s="185">
        <v>-741</v>
      </c>
      <c r="E81" s="185">
        <v>-1523</v>
      </c>
      <c r="F81" s="185">
        <v>-830</v>
      </c>
      <c r="G81" s="185">
        <v>-651</v>
      </c>
      <c r="I81" s="183"/>
      <c r="J81" s="183"/>
      <c r="K81" s="183"/>
      <c r="L81" s="183"/>
      <c r="M81" s="183"/>
    </row>
    <row r="82" spans="1:13" s="4" customFormat="1" x14ac:dyDescent="0.25">
      <c r="A82" s="2"/>
      <c r="B82" s="4" t="s">
        <v>260</v>
      </c>
      <c r="C82" s="185">
        <v>-1067</v>
      </c>
      <c r="D82" s="185">
        <v>-741</v>
      </c>
      <c r="E82" s="185">
        <v>-1523</v>
      </c>
      <c r="F82" s="185">
        <v>-830</v>
      </c>
      <c r="G82" s="185">
        <v>-651</v>
      </c>
      <c r="I82" s="183"/>
      <c r="J82" s="183"/>
      <c r="K82" s="183"/>
      <c r="L82" s="183"/>
      <c r="M82" s="183"/>
    </row>
    <row r="83" spans="1:13" s="4" customFormat="1" x14ac:dyDescent="0.25">
      <c r="A83" s="2"/>
      <c r="B83" s="4" t="s">
        <v>261</v>
      </c>
      <c r="C83" s="185">
        <v>901</v>
      </c>
      <c r="D83" s="185">
        <v>1246</v>
      </c>
      <c r="E83" s="185">
        <v>1572</v>
      </c>
      <c r="F83" s="185">
        <v>1797</v>
      </c>
      <c r="G83" s="185">
        <v>1919</v>
      </c>
      <c r="I83" s="183"/>
      <c r="J83" s="183"/>
      <c r="K83" s="183"/>
      <c r="L83" s="183"/>
      <c r="M83" s="183"/>
    </row>
    <row r="84" spans="1:13" s="4" customFormat="1" x14ac:dyDescent="0.25">
      <c r="A84" s="2"/>
      <c r="B84" s="4" t="s">
        <v>262</v>
      </c>
      <c r="C84" s="185">
        <v>39505</v>
      </c>
      <c r="D84" s="185">
        <v>43669</v>
      </c>
      <c r="E84" s="185">
        <v>48999</v>
      </c>
      <c r="F84" s="185">
        <v>14759</v>
      </c>
      <c r="G84" s="185">
        <v>15404</v>
      </c>
      <c r="I84" s="183"/>
      <c r="J84" s="183"/>
      <c r="K84" s="183"/>
      <c r="L84" s="183"/>
      <c r="M84" s="183"/>
    </row>
    <row r="85" spans="1:13" s="4" customFormat="1" x14ac:dyDescent="0.25">
      <c r="A85" s="2"/>
      <c r="B85" s="4" t="s">
        <v>263</v>
      </c>
      <c r="C85" s="185">
        <v>2749</v>
      </c>
      <c r="D85" s="185">
        <v>1781</v>
      </c>
      <c r="E85" s="185">
        <v>363</v>
      </c>
      <c r="F85" s="185">
        <v>339</v>
      </c>
      <c r="G85" s="185">
        <v>335</v>
      </c>
      <c r="I85" s="183"/>
      <c r="J85" s="183"/>
      <c r="K85" s="183"/>
      <c r="L85" s="183"/>
      <c r="M85" s="183"/>
    </row>
    <row r="86" spans="1:13" s="4" customFormat="1" x14ac:dyDescent="0.25">
      <c r="A86" s="2"/>
      <c r="B86" s="4" t="s">
        <v>264</v>
      </c>
      <c r="C86" s="185">
        <v>2239</v>
      </c>
      <c r="D86" s="185">
        <v>3147</v>
      </c>
      <c r="E86" s="185">
        <v>4267</v>
      </c>
      <c r="F86" s="185">
        <v>988</v>
      </c>
      <c r="G86" s="185">
        <v>599</v>
      </c>
      <c r="I86" s="183"/>
      <c r="J86" s="183"/>
      <c r="K86" s="183"/>
      <c r="L86" s="183"/>
      <c r="M86" s="183"/>
    </row>
    <row r="87" spans="1:13" s="4" customFormat="1" x14ac:dyDescent="0.25">
      <c r="A87" s="2"/>
      <c r="B87" s="4" t="s">
        <v>265</v>
      </c>
      <c r="C87" s="185">
        <v>4677</v>
      </c>
      <c r="D87" s="185">
        <v>2289</v>
      </c>
      <c r="E87" s="185">
        <v>7147</v>
      </c>
      <c r="F87" s="185">
        <v>1487</v>
      </c>
      <c r="G87" s="185">
        <v>988</v>
      </c>
      <c r="I87" s="183"/>
      <c r="J87" s="183"/>
      <c r="K87" s="183"/>
      <c r="L87" s="183"/>
      <c r="M87" s="183"/>
    </row>
    <row r="88" spans="1:13" s="4" customFormat="1" x14ac:dyDescent="0.25">
      <c r="A88" s="2"/>
      <c r="B88" s="4" t="s">
        <v>266</v>
      </c>
      <c r="C88" s="185">
        <v>1767</v>
      </c>
      <c r="D88" s="185">
        <v>4719</v>
      </c>
      <c r="E88" s="185">
        <v>789</v>
      </c>
      <c r="F88" s="185">
        <v>800</v>
      </c>
      <c r="G88" s="185">
        <v>1493</v>
      </c>
      <c r="I88" s="183"/>
      <c r="J88" s="183"/>
      <c r="K88" s="183"/>
      <c r="L88" s="183"/>
      <c r="M88" s="183"/>
    </row>
    <row r="89" spans="1:13" s="4" customFormat="1" x14ac:dyDescent="0.25">
      <c r="A89" s="2"/>
      <c r="B89" s="4" t="s">
        <v>267</v>
      </c>
      <c r="C89" s="185">
        <v>2312</v>
      </c>
      <c r="D89" s="185">
        <v>1767</v>
      </c>
      <c r="E89" s="185">
        <v>4693</v>
      </c>
      <c r="F89" s="185">
        <v>700</v>
      </c>
      <c r="G89" s="185">
        <v>800</v>
      </c>
      <c r="I89" s="183"/>
      <c r="J89" s="183"/>
      <c r="K89" s="183"/>
      <c r="L89" s="183"/>
      <c r="M89" s="183"/>
    </row>
    <row r="90" spans="1:13" s="4" customFormat="1" x14ac:dyDescent="0.25">
      <c r="A90" s="2"/>
      <c r="B90" s="4" t="s">
        <v>268</v>
      </c>
      <c r="C90" s="185">
        <v>25783</v>
      </c>
      <c r="D90" s="185">
        <v>30250</v>
      </c>
      <c r="E90" s="185">
        <v>32017</v>
      </c>
      <c r="F90" s="185">
        <v>10873</v>
      </c>
      <c r="G90" s="185">
        <v>11633</v>
      </c>
      <c r="I90" s="183"/>
      <c r="J90" s="183"/>
      <c r="K90" s="183"/>
      <c r="L90" s="183"/>
      <c r="M90" s="183"/>
    </row>
    <row r="91" spans="1:13" s="4" customFormat="1" x14ac:dyDescent="0.25">
      <c r="A91" s="2"/>
      <c r="B91" s="4" t="s">
        <v>269</v>
      </c>
      <c r="C91" s="185">
        <v>-22</v>
      </c>
      <c r="D91" s="185">
        <v>-284</v>
      </c>
      <c r="E91" s="185">
        <v>-277</v>
      </c>
      <c r="F91" s="185">
        <v>-428</v>
      </c>
      <c r="G91" s="185">
        <v>-444</v>
      </c>
      <c r="I91" s="183"/>
      <c r="J91" s="183"/>
      <c r="K91" s="183"/>
      <c r="L91" s="183"/>
      <c r="M91" s="183"/>
    </row>
    <row r="92" spans="1:13" s="4" customFormat="1" x14ac:dyDescent="0.25">
      <c r="A92" s="2"/>
      <c r="B92" s="4" t="s">
        <v>270</v>
      </c>
      <c r="C92" s="185">
        <v>463</v>
      </c>
      <c r="D92" s="185">
        <v>265</v>
      </c>
      <c r="E92" s="185">
        <v>268</v>
      </c>
      <c r="F92" s="185">
        <v>255</v>
      </c>
      <c r="G92" s="185">
        <v>241</v>
      </c>
      <c r="I92" s="183"/>
      <c r="J92" s="183"/>
      <c r="K92" s="183"/>
      <c r="L92" s="183"/>
      <c r="M92" s="183"/>
    </row>
    <row r="93" spans="1:13" s="4" customFormat="1" x14ac:dyDescent="0.25">
      <c r="A93" s="2"/>
      <c r="B93" s="4" t="s">
        <v>271</v>
      </c>
      <c r="C93" s="185">
        <v>130</v>
      </c>
      <c r="D93" s="185">
        <v>85</v>
      </c>
      <c r="E93" s="185">
        <v>82</v>
      </c>
      <c r="F93" s="185">
        <v>65</v>
      </c>
      <c r="G93" s="185">
        <v>64</v>
      </c>
      <c r="I93" s="183"/>
      <c r="J93" s="183"/>
      <c r="K93" s="183"/>
      <c r="L93" s="183"/>
      <c r="M93" s="183"/>
    </row>
    <row r="94" spans="1:13" s="4" customFormat="1" x14ac:dyDescent="0.25">
      <c r="A94" s="2"/>
      <c r="B94" s="4" t="s">
        <v>272</v>
      </c>
      <c r="C94" s="185">
        <v>112</v>
      </c>
      <c r="D94" s="185">
        <v>70</v>
      </c>
      <c r="E94" s="185">
        <v>67</v>
      </c>
      <c r="F94" s="185">
        <v>65</v>
      </c>
      <c r="G94" s="185">
        <v>55</v>
      </c>
      <c r="I94" s="183"/>
      <c r="J94" s="183"/>
      <c r="K94" s="183"/>
      <c r="L94" s="183"/>
      <c r="M94" s="183"/>
    </row>
    <row r="95" spans="1:13" s="4" customFormat="1" x14ac:dyDescent="0.25">
      <c r="A95" s="2"/>
      <c r="B95" s="4" t="s">
        <v>273</v>
      </c>
      <c r="C95" s="185">
        <v>91</v>
      </c>
      <c r="D95" s="185">
        <v>56</v>
      </c>
      <c r="E95" s="185">
        <v>49</v>
      </c>
      <c r="F95" s="185">
        <v>48</v>
      </c>
      <c r="G95" s="185">
        <v>48</v>
      </c>
      <c r="I95" s="183"/>
      <c r="J95" s="183"/>
      <c r="K95" s="183"/>
      <c r="L95" s="183"/>
      <c r="M95" s="183"/>
    </row>
    <row r="96" spans="1:13" s="4" customFormat="1" x14ac:dyDescent="0.25">
      <c r="A96" s="2"/>
      <c r="B96" s="4" t="s">
        <v>274</v>
      </c>
      <c r="C96" s="185">
        <v>57</v>
      </c>
      <c r="D96" s="185">
        <v>35</v>
      </c>
      <c r="E96" s="185">
        <v>33</v>
      </c>
      <c r="F96" s="185">
        <v>35</v>
      </c>
      <c r="G96" s="185">
        <v>31</v>
      </c>
      <c r="I96" s="183"/>
      <c r="J96" s="183"/>
      <c r="K96" s="183"/>
      <c r="L96" s="183"/>
      <c r="M96" s="183"/>
    </row>
    <row r="97" spans="1:13" s="4" customFormat="1" x14ac:dyDescent="0.25">
      <c r="A97" s="2"/>
      <c r="B97" s="4" t="s">
        <v>275</v>
      </c>
      <c r="C97" s="185">
        <v>30</v>
      </c>
      <c r="D97" s="185">
        <v>15</v>
      </c>
      <c r="E97" s="185">
        <v>25</v>
      </c>
      <c r="F97" s="185">
        <v>26</v>
      </c>
      <c r="G97" s="185">
        <v>23</v>
      </c>
      <c r="I97" s="183"/>
      <c r="J97" s="183"/>
      <c r="K97" s="183"/>
      <c r="L97" s="183"/>
      <c r="M97" s="183"/>
    </row>
    <row r="98" spans="1:13" s="4" customFormat="1" x14ac:dyDescent="0.25">
      <c r="A98" s="2"/>
      <c r="B98" s="4" t="s">
        <v>276</v>
      </c>
      <c r="C98" s="185">
        <v>115</v>
      </c>
      <c r="D98" s="185">
        <v>35</v>
      </c>
      <c r="E98" s="185">
        <v>26</v>
      </c>
      <c r="F98" s="185">
        <v>38</v>
      </c>
      <c r="G98" s="185">
        <v>42</v>
      </c>
      <c r="I98" s="183"/>
      <c r="J98" s="183"/>
      <c r="K98" s="183"/>
      <c r="L98" s="183"/>
      <c r="M98" s="183"/>
    </row>
    <row r="99" spans="1:13" s="4" customFormat="1" x14ac:dyDescent="0.25">
      <c r="A99" s="2"/>
      <c r="B99" s="4" t="s">
        <v>277</v>
      </c>
      <c r="C99" s="185">
        <v>-72</v>
      </c>
      <c r="D99" s="185">
        <v>-31</v>
      </c>
      <c r="E99" s="185">
        <v>-14</v>
      </c>
      <c r="F99" s="185">
        <v>-22</v>
      </c>
      <c r="G99" s="185">
        <v>-22</v>
      </c>
      <c r="I99" s="183"/>
      <c r="J99" s="183"/>
      <c r="K99" s="183"/>
      <c r="L99" s="183"/>
      <c r="M99" s="183"/>
    </row>
    <row r="100" spans="1:13" s="4" customFormat="1" x14ac:dyDescent="0.25">
      <c r="A100" s="2"/>
      <c r="B100" s="4" t="s">
        <v>278</v>
      </c>
      <c r="C100" s="185">
        <v>3038</v>
      </c>
      <c r="D100" s="185">
        <v>3351</v>
      </c>
      <c r="E100" s="185">
        <v>3335</v>
      </c>
      <c r="F100" s="185">
        <v>629</v>
      </c>
      <c r="G100" s="185">
        <v>663</v>
      </c>
      <c r="I100" s="183"/>
      <c r="J100" s="183"/>
      <c r="K100" s="183"/>
      <c r="L100" s="183"/>
      <c r="M100" s="183"/>
    </row>
    <row r="101" spans="1:13" s="4" customFormat="1" x14ac:dyDescent="0.25">
      <c r="A101" s="2"/>
      <c r="B101" s="4" t="s">
        <v>279</v>
      </c>
      <c r="C101" s="185">
        <v>432</v>
      </c>
      <c r="D101" s="185">
        <v>462</v>
      </c>
      <c r="E101" s="185">
        <v>465</v>
      </c>
      <c r="F101" s="185">
        <v>84</v>
      </c>
      <c r="G101" s="185">
        <v>91</v>
      </c>
      <c r="I101" s="183"/>
      <c r="J101" s="183"/>
      <c r="K101" s="183"/>
      <c r="L101" s="183"/>
      <c r="M101" s="183"/>
    </row>
    <row r="102" spans="1:13" s="4" customFormat="1" x14ac:dyDescent="0.25">
      <c r="A102" s="2"/>
      <c r="B102" s="4" t="s">
        <v>280</v>
      </c>
      <c r="C102" s="185">
        <v>377</v>
      </c>
      <c r="D102" s="185">
        <v>404</v>
      </c>
      <c r="E102" s="185">
        <v>427</v>
      </c>
      <c r="F102" s="185">
        <v>75</v>
      </c>
      <c r="G102" s="185">
        <v>76</v>
      </c>
      <c r="I102" s="183"/>
      <c r="J102" s="183"/>
      <c r="K102" s="183"/>
      <c r="L102" s="183"/>
      <c r="M102" s="183"/>
    </row>
    <row r="103" spans="1:13" s="4" customFormat="1" x14ac:dyDescent="0.25">
      <c r="A103" s="2"/>
      <c r="B103" s="4" t="s">
        <v>281</v>
      </c>
      <c r="C103" s="185">
        <v>349</v>
      </c>
      <c r="D103" s="185">
        <v>377</v>
      </c>
      <c r="E103" s="185">
        <v>367</v>
      </c>
      <c r="F103" s="185">
        <v>71</v>
      </c>
      <c r="G103" s="185">
        <v>69</v>
      </c>
      <c r="I103" s="183"/>
      <c r="J103" s="183"/>
      <c r="K103" s="183"/>
      <c r="L103" s="183"/>
      <c r="M103" s="183"/>
    </row>
    <row r="104" spans="1:13" s="4" customFormat="1" x14ac:dyDescent="0.25">
      <c r="A104" s="2"/>
      <c r="B104" s="4" t="s">
        <v>282</v>
      </c>
      <c r="C104" s="185">
        <v>338</v>
      </c>
      <c r="D104" s="185">
        <v>358</v>
      </c>
      <c r="E104" s="185">
        <v>338</v>
      </c>
      <c r="F104" s="185">
        <v>63</v>
      </c>
      <c r="G104" s="185">
        <v>63</v>
      </c>
      <c r="I104" s="183"/>
      <c r="J104" s="183"/>
      <c r="K104" s="183"/>
      <c r="L104" s="183"/>
      <c r="M104" s="183"/>
    </row>
    <row r="105" spans="1:13" s="4" customFormat="1" x14ac:dyDescent="0.25">
      <c r="A105" s="2"/>
      <c r="B105" s="4" t="s">
        <v>283</v>
      </c>
      <c r="C105" s="185">
        <v>334</v>
      </c>
      <c r="D105" s="185">
        <v>344</v>
      </c>
      <c r="E105" s="185">
        <v>318</v>
      </c>
      <c r="F105" s="185">
        <v>60</v>
      </c>
      <c r="G105" s="185">
        <v>58</v>
      </c>
      <c r="I105" s="183"/>
      <c r="J105" s="183"/>
      <c r="K105" s="183"/>
      <c r="L105" s="183"/>
      <c r="M105" s="183"/>
    </row>
    <row r="106" spans="1:13" s="4" customFormat="1" x14ac:dyDescent="0.25">
      <c r="A106" s="2"/>
      <c r="B106" s="4" t="s">
        <v>284</v>
      </c>
      <c r="C106" s="185">
        <v>2072</v>
      </c>
      <c r="D106" s="185">
        <v>2415</v>
      </c>
      <c r="E106" s="185">
        <v>2389</v>
      </c>
      <c r="F106" s="185">
        <v>448</v>
      </c>
      <c r="G106" s="185">
        <v>502</v>
      </c>
      <c r="I106" s="183"/>
      <c r="J106" s="183"/>
      <c r="K106" s="183"/>
      <c r="L106" s="183"/>
      <c r="M106" s="183"/>
    </row>
    <row r="107" spans="1:13" s="4" customFormat="1" x14ac:dyDescent="0.25">
      <c r="A107" s="2"/>
      <c r="B107" s="4" t="s">
        <v>284</v>
      </c>
      <c r="C107" s="185">
        <v>-864</v>
      </c>
      <c r="D107" s="185">
        <v>-1009</v>
      </c>
      <c r="E107" s="185">
        <v>-969</v>
      </c>
      <c r="F107" s="185">
        <v>-172</v>
      </c>
      <c r="G107" s="185">
        <v>-196</v>
      </c>
      <c r="I107" s="183"/>
      <c r="J107" s="183"/>
      <c r="K107" s="183"/>
      <c r="L107" s="183"/>
      <c r="M107" s="183"/>
    </row>
    <row r="108" spans="1:13" s="4" customFormat="1" x14ac:dyDescent="0.25">
      <c r="A108" s="2"/>
      <c r="B108" s="4" t="s">
        <v>285</v>
      </c>
      <c r="C108" s="185">
        <v>3501</v>
      </c>
      <c r="D108" s="185">
        <v>3616</v>
      </c>
      <c r="E108" s="185">
        <v>3603</v>
      </c>
      <c r="F108" s="185">
        <v>884</v>
      </c>
      <c r="G108" s="185">
        <v>904</v>
      </c>
      <c r="I108" s="183"/>
      <c r="J108" s="183"/>
      <c r="K108" s="183"/>
      <c r="L108" s="183"/>
      <c r="M108" s="183"/>
    </row>
    <row r="109" spans="1:13" s="4" customFormat="1" x14ac:dyDescent="0.25">
      <c r="A109" s="2"/>
      <c r="B109" s="4" t="s">
        <v>286</v>
      </c>
      <c r="C109" s="185">
        <v>562</v>
      </c>
      <c r="D109" s="185">
        <v>547</v>
      </c>
      <c r="E109" s="185">
        <v>547</v>
      </c>
      <c r="F109" s="185">
        <v>149</v>
      </c>
      <c r="G109" s="185">
        <v>155</v>
      </c>
      <c r="I109" s="183"/>
      <c r="J109" s="183"/>
      <c r="K109" s="183"/>
      <c r="L109" s="183"/>
      <c r="M109" s="183"/>
    </row>
    <row r="110" spans="1:13" s="4" customFormat="1" x14ac:dyDescent="0.25">
      <c r="A110" s="2"/>
      <c r="B110" s="4" t="s">
        <v>287</v>
      </c>
      <c r="C110" s="185">
        <v>489</v>
      </c>
      <c r="D110" s="185">
        <v>474</v>
      </c>
      <c r="E110" s="185">
        <v>494</v>
      </c>
      <c r="F110" s="185">
        <v>140</v>
      </c>
      <c r="G110" s="185">
        <v>131</v>
      </c>
      <c r="I110" s="183"/>
      <c r="J110" s="183"/>
      <c r="K110" s="183"/>
      <c r="L110" s="183"/>
      <c r="M110" s="183"/>
    </row>
    <row r="111" spans="1:13" s="4" customFormat="1" x14ac:dyDescent="0.25">
      <c r="A111" s="2"/>
      <c r="B111" s="4" t="s">
        <v>288</v>
      </c>
      <c r="C111" s="185">
        <v>440</v>
      </c>
      <c r="D111" s="185">
        <v>433</v>
      </c>
      <c r="E111" s="185">
        <v>416</v>
      </c>
      <c r="F111" s="185">
        <v>119</v>
      </c>
      <c r="G111" s="185">
        <v>117</v>
      </c>
      <c r="I111" s="183"/>
      <c r="J111" s="183"/>
      <c r="K111" s="183"/>
      <c r="L111" s="183"/>
      <c r="M111" s="183"/>
    </row>
    <row r="112" spans="1:13" s="4" customFormat="1" x14ac:dyDescent="0.25">
      <c r="A112" s="2"/>
      <c r="B112" s="4" t="s">
        <v>289</v>
      </c>
      <c r="C112" s="185">
        <v>395</v>
      </c>
      <c r="D112" s="185">
        <v>393</v>
      </c>
      <c r="E112" s="185">
        <v>371</v>
      </c>
      <c r="F112" s="185">
        <v>98</v>
      </c>
      <c r="G112" s="185">
        <v>94</v>
      </c>
      <c r="I112" s="183"/>
      <c r="J112" s="183"/>
      <c r="K112" s="183"/>
      <c r="L112" s="183"/>
      <c r="M112" s="183"/>
    </row>
    <row r="113" spans="1:13" s="4" customFormat="1" x14ac:dyDescent="0.25">
      <c r="A113" s="2"/>
      <c r="B113" s="4" t="s">
        <v>290</v>
      </c>
      <c r="C113" s="185">
        <v>364</v>
      </c>
      <c r="D113" s="185">
        <v>359</v>
      </c>
      <c r="E113" s="185">
        <v>343</v>
      </c>
      <c r="F113" s="185">
        <v>86</v>
      </c>
      <c r="G113" s="185">
        <v>81</v>
      </c>
      <c r="I113" s="183"/>
      <c r="J113" s="183"/>
      <c r="K113" s="183"/>
      <c r="L113" s="183"/>
      <c r="M113" s="183"/>
    </row>
    <row r="114" spans="1:13" s="4" customFormat="1" x14ac:dyDescent="0.25">
      <c r="A114" s="2"/>
      <c r="B114" s="4" t="s">
        <v>291</v>
      </c>
      <c r="C114" s="185">
        <v>2187</v>
      </c>
      <c r="D114" s="185">
        <v>2450</v>
      </c>
      <c r="E114" s="185">
        <v>2415</v>
      </c>
      <c r="F114" s="185">
        <v>486</v>
      </c>
      <c r="G114" s="185">
        <v>544</v>
      </c>
      <c r="I114" s="183"/>
      <c r="J114" s="183"/>
      <c r="K114" s="183"/>
      <c r="L114" s="183"/>
      <c r="M114" s="183"/>
    </row>
    <row r="115" spans="1:13" s="4" customFormat="1" x14ac:dyDescent="0.25">
      <c r="A115" s="2"/>
      <c r="B115" s="4" t="s">
        <v>292</v>
      </c>
      <c r="C115" s="185">
        <v>-936</v>
      </c>
      <c r="D115" s="185">
        <v>-1040</v>
      </c>
      <c r="E115" s="185">
        <v>-983</v>
      </c>
      <c r="F115" s="185">
        <v>-194</v>
      </c>
      <c r="G115" s="185">
        <v>-218</v>
      </c>
      <c r="I115" s="183"/>
      <c r="J115" s="183"/>
      <c r="K115" s="183"/>
      <c r="L115" s="183"/>
      <c r="M115" s="183"/>
    </row>
    <row r="116" spans="1:13" s="4" customFormat="1" x14ac:dyDescent="0.25">
      <c r="A116" s="2"/>
      <c r="B116" s="4" t="s">
        <v>293</v>
      </c>
      <c r="C116" s="185">
        <v>43006</v>
      </c>
      <c r="D116" s="185">
        <v>47285</v>
      </c>
      <c r="E116" s="185">
        <v>52602</v>
      </c>
      <c r="F116" s="185">
        <v>15643</v>
      </c>
      <c r="G116" s="185">
        <v>33304</v>
      </c>
      <c r="I116" s="183"/>
      <c r="J116" s="183"/>
      <c r="K116" s="183"/>
      <c r="L116" s="183"/>
      <c r="M116" s="183"/>
    </row>
    <row r="117" spans="1:13" s="4" customFormat="1" x14ac:dyDescent="0.25">
      <c r="A117" s="2"/>
      <c r="B117" s="4" t="s">
        <v>294</v>
      </c>
      <c r="C117" s="185">
        <v>3311</v>
      </c>
      <c r="D117" s="185">
        <v>2328</v>
      </c>
      <c r="E117" s="185">
        <v>910</v>
      </c>
      <c r="F117" s="185">
        <v>488</v>
      </c>
      <c r="G117" s="185">
        <v>3410</v>
      </c>
      <c r="I117" s="183"/>
      <c r="J117" s="183"/>
      <c r="K117" s="183"/>
      <c r="L117" s="183"/>
      <c r="M117" s="183"/>
    </row>
    <row r="118" spans="1:13" s="4" customFormat="1" x14ac:dyDescent="0.25">
      <c r="A118" s="2"/>
      <c r="B118" s="4" t="s">
        <v>295</v>
      </c>
      <c r="C118" s="185">
        <v>2728</v>
      </c>
      <c r="D118" s="185">
        <v>3621</v>
      </c>
      <c r="E118" s="185">
        <v>4761</v>
      </c>
      <c r="F118" s="185">
        <v>1128</v>
      </c>
      <c r="G118" s="185">
        <v>730</v>
      </c>
      <c r="I118" s="183"/>
      <c r="J118" s="183"/>
      <c r="K118" s="183"/>
      <c r="L118" s="183"/>
      <c r="M118" s="183"/>
    </row>
    <row r="119" spans="1:13" s="4" customFormat="1" x14ac:dyDescent="0.25">
      <c r="A119" s="2"/>
      <c r="B119" s="4" t="s">
        <v>296</v>
      </c>
      <c r="C119" s="185">
        <v>5117</v>
      </c>
      <c r="D119" s="185">
        <v>2722</v>
      </c>
      <c r="E119" s="185">
        <v>7563</v>
      </c>
      <c r="F119" s="185">
        <v>1606</v>
      </c>
      <c r="G119" s="185">
        <v>4019</v>
      </c>
      <c r="I119" s="183"/>
      <c r="J119" s="183"/>
      <c r="K119" s="183"/>
      <c r="L119" s="183"/>
      <c r="M119" s="183"/>
    </row>
    <row r="120" spans="1:13" s="4" customFormat="1" x14ac:dyDescent="0.25">
      <c r="A120" s="2"/>
      <c r="B120" s="4" t="s">
        <v>297</v>
      </c>
      <c r="C120" s="185">
        <v>2162</v>
      </c>
      <c r="D120" s="185">
        <v>5112</v>
      </c>
      <c r="E120" s="185">
        <v>1160</v>
      </c>
      <c r="F120" s="185">
        <v>898</v>
      </c>
      <c r="G120" s="185">
        <v>1587</v>
      </c>
      <c r="I120" s="183"/>
      <c r="J120" s="183"/>
      <c r="K120" s="183"/>
      <c r="L120" s="183"/>
      <c r="M120" s="183"/>
    </row>
    <row r="121" spans="1:13" s="4" customFormat="1" x14ac:dyDescent="0.25">
      <c r="A121" s="2"/>
      <c r="B121" s="4" t="s">
        <v>298</v>
      </c>
      <c r="C121" s="185">
        <v>2676</v>
      </c>
      <c r="D121" s="185">
        <v>2126</v>
      </c>
      <c r="E121" s="185">
        <v>5036</v>
      </c>
      <c r="F121" s="185">
        <v>786</v>
      </c>
      <c r="G121" s="185">
        <v>3190</v>
      </c>
      <c r="I121" s="183"/>
      <c r="J121" s="183"/>
      <c r="K121" s="183"/>
      <c r="L121" s="183"/>
      <c r="M121" s="183"/>
    </row>
    <row r="122" spans="1:13" s="4" customFormat="1" x14ac:dyDescent="0.25">
      <c r="A122" s="2"/>
      <c r="B122" s="4" t="s">
        <v>299</v>
      </c>
      <c r="C122" s="185">
        <v>27970</v>
      </c>
      <c r="D122" s="185">
        <v>32700</v>
      </c>
      <c r="E122" s="185">
        <v>34432</v>
      </c>
      <c r="F122" s="185">
        <v>11359</v>
      </c>
      <c r="G122" s="185">
        <v>21030</v>
      </c>
      <c r="I122" s="183"/>
      <c r="J122" s="183"/>
      <c r="K122" s="183"/>
      <c r="L122" s="183"/>
      <c r="M122" s="183"/>
    </row>
    <row r="123" spans="1:13" s="4" customFormat="1" x14ac:dyDescent="0.25">
      <c r="A123" s="2"/>
      <c r="B123" s="4" t="s">
        <v>300</v>
      </c>
      <c r="C123" s="185">
        <v>-958</v>
      </c>
      <c r="D123" s="185">
        <v>-1324</v>
      </c>
      <c r="E123" s="185">
        <v>-1260</v>
      </c>
      <c r="F123" s="185">
        <v>-622</v>
      </c>
      <c r="G123" s="185">
        <v>-662</v>
      </c>
      <c r="I123" s="183"/>
      <c r="J123" s="183"/>
      <c r="K123" s="183"/>
      <c r="L123" s="183"/>
      <c r="M123" s="183"/>
    </row>
    <row r="124" spans="1:13" s="4" customFormat="1" x14ac:dyDescent="0.25">
      <c r="A124" s="2"/>
      <c r="B124" s="4" t="s">
        <v>301</v>
      </c>
      <c r="C124" s="4" t="s">
        <v>49</v>
      </c>
      <c r="D124" s="4" t="s">
        <v>49</v>
      </c>
      <c r="E124" s="4" t="s">
        <v>49</v>
      </c>
      <c r="F124" s="4" t="s">
        <v>49</v>
      </c>
      <c r="G124" s="185">
        <v>16996</v>
      </c>
      <c r="I124" s="183"/>
      <c r="J124" s="183"/>
      <c r="K124" s="183"/>
      <c r="L124" s="183"/>
      <c r="M124" s="183"/>
    </row>
    <row r="125" spans="1:13" s="4" customFormat="1" x14ac:dyDescent="0.25">
      <c r="A125" s="2"/>
      <c r="B125" s="4" t="s">
        <v>302</v>
      </c>
      <c r="C125" s="4" t="s">
        <v>49</v>
      </c>
      <c r="D125" s="4" t="s">
        <v>49</v>
      </c>
      <c r="E125" s="4" t="s">
        <v>49</v>
      </c>
      <c r="F125" s="4" t="s">
        <v>49</v>
      </c>
      <c r="G125" s="185">
        <v>2920</v>
      </c>
      <c r="I125" s="183"/>
      <c r="J125" s="183"/>
      <c r="K125" s="183"/>
      <c r="L125" s="183"/>
      <c r="M125" s="183"/>
    </row>
    <row r="126" spans="1:13" s="4" customFormat="1" x14ac:dyDescent="0.25">
      <c r="A126" s="2"/>
      <c r="B126" s="4" t="s">
        <v>303</v>
      </c>
      <c r="C126" s="4" t="s">
        <v>49</v>
      </c>
      <c r="D126" s="4" t="s">
        <v>49</v>
      </c>
      <c r="E126" s="4" t="s">
        <v>49</v>
      </c>
      <c r="F126" s="4" t="s">
        <v>49</v>
      </c>
      <c r="G126" s="185">
        <v>2914</v>
      </c>
      <c r="I126" s="183"/>
      <c r="J126" s="183"/>
      <c r="K126" s="183"/>
      <c r="L126" s="183"/>
      <c r="M126" s="183"/>
    </row>
    <row r="127" spans="1:13" s="4" customFormat="1" x14ac:dyDescent="0.25">
      <c r="A127" s="2"/>
      <c r="B127" s="4" t="s">
        <v>304</v>
      </c>
      <c r="C127" s="4" t="s">
        <v>49</v>
      </c>
      <c r="D127" s="4" t="s">
        <v>49</v>
      </c>
      <c r="E127" s="4" t="s">
        <v>49</v>
      </c>
      <c r="F127" s="4" t="s">
        <v>49</v>
      </c>
      <c r="G127" s="185">
        <v>2309</v>
      </c>
      <c r="I127" s="183"/>
      <c r="J127" s="183"/>
      <c r="K127" s="183"/>
      <c r="L127" s="183"/>
      <c r="M127" s="183"/>
    </row>
    <row r="128" spans="1:13" s="4" customFormat="1" x14ac:dyDescent="0.25">
      <c r="A128" s="2"/>
      <c r="B128" s="4" t="s">
        <v>305</v>
      </c>
      <c r="C128" s="4" t="s">
        <v>49</v>
      </c>
      <c r="D128" s="4" t="s">
        <v>49</v>
      </c>
      <c r="E128" s="4" t="s">
        <v>49</v>
      </c>
      <c r="F128" s="4" t="s">
        <v>49</v>
      </c>
      <c r="G128" s="185">
        <v>8853</v>
      </c>
      <c r="I128" s="183"/>
      <c r="J128" s="183"/>
      <c r="K128" s="183"/>
      <c r="L128" s="183"/>
      <c r="M128" s="183"/>
    </row>
    <row r="129" spans="3:3" x14ac:dyDescent="0.25">
      <c r="C129" s="184"/>
    </row>
  </sheetData>
  <sortState xmlns:xlrd2="http://schemas.microsoft.com/office/spreadsheetml/2017/richdata2" columnSort="1" ref="B4:G128">
    <sortCondition descending="1" ref="B4:G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ACF3-2859-4510-81D5-DED744EB21A6}">
  <dimension ref="B1:H82"/>
  <sheetViews>
    <sheetView showGridLines="0" workbookViewId="0">
      <selection activeCell="A8" sqref="A8"/>
    </sheetView>
  </sheetViews>
  <sheetFormatPr defaultRowHeight="15" x14ac:dyDescent="0.25"/>
  <cols>
    <col min="1" max="1" width="9.140625" style="2"/>
    <col min="2" max="2" width="103.42578125" style="4" bestFit="1" customWidth="1"/>
    <col min="3" max="4" width="12.28515625" style="4" bestFit="1" customWidth="1"/>
    <col min="5" max="8" width="13.42578125" style="4" bestFit="1" customWidth="1"/>
    <col min="9" max="16384" width="9.140625" style="2"/>
  </cols>
  <sheetData>
    <row r="1" spans="2:8" x14ac:dyDescent="0.25">
      <c r="B1" s="2"/>
      <c r="C1" s="2"/>
      <c r="D1" s="2"/>
      <c r="E1" s="2"/>
      <c r="F1" s="2"/>
      <c r="G1" s="2"/>
      <c r="H1" s="2"/>
    </row>
    <row r="2" spans="2:8" ht="26.25" x14ac:dyDescent="0.25">
      <c r="B2" s="1" t="s">
        <v>535</v>
      </c>
      <c r="C2" s="1"/>
      <c r="D2" s="1"/>
      <c r="E2" s="1"/>
      <c r="F2" s="1"/>
      <c r="G2" s="1"/>
      <c r="H2" s="1"/>
    </row>
    <row r="3" spans="2:8" ht="9.75" customHeight="1" x14ac:dyDescent="0.25"/>
    <row r="4" spans="2:8" x14ac:dyDescent="0.25">
      <c r="B4" s="176" t="s">
        <v>28</v>
      </c>
      <c r="C4" s="176" t="s">
        <v>29</v>
      </c>
      <c r="D4" s="176" t="s">
        <v>30</v>
      </c>
      <c r="E4" s="176" t="s">
        <v>31</v>
      </c>
      <c r="F4" s="176" t="s">
        <v>32</v>
      </c>
      <c r="G4" s="176" t="s">
        <v>33</v>
      </c>
      <c r="H4" s="176" t="s">
        <v>34</v>
      </c>
    </row>
    <row r="5" spans="2:8" x14ac:dyDescent="0.25">
      <c r="B5" s="4" t="s">
        <v>35</v>
      </c>
      <c r="C5" s="185">
        <v>2739000000</v>
      </c>
      <c r="D5" s="185">
        <v>2798000000</v>
      </c>
      <c r="E5" s="185">
        <v>4304000000</v>
      </c>
      <c r="F5" s="185">
        <v>7477000000</v>
      </c>
      <c r="G5" s="185">
        <v>5375000000</v>
      </c>
      <c r="H5" s="185">
        <v>5230000000</v>
      </c>
    </row>
    <row r="6" spans="2:8" x14ac:dyDescent="0.25">
      <c r="B6" s="4" t="s">
        <v>36</v>
      </c>
      <c r="C6" s="185">
        <v>2739000000</v>
      </c>
      <c r="D6" s="185">
        <v>2798000000</v>
      </c>
      <c r="E6" s="185">
        <v>4304000000</v>
      </c>
      <c r="F6" s="185">
        <v>7477000000</v>
      </c>
      <c r="G6" s="185">
        <v>5375000000</v>
      </c>
      <c r="H6" s="185">
        <v>5230000000</v>
      </c>
    </row>
    <row r="7" spans="2:8" x14ac:dyDescent="0.25">
      <c r="B7" s="4" t="s">
        <v>37</v>
      </c>
      <c r="C7" s="185">
        <v>2739000000</v>
      </c>
      <c r="D7" s="185">
        <v>2798000000</v>
      </c>
      <c r="E7" s="185">
        <v>4304000000</v>
      </c>
      <c r="F7" s="185">
        <v>7477000000</v>
      </c>
      <c r="G7" s="185">
        <v>5375000000</v>
      </c>
      <c r="H7" s="185">
        <v>5230000000</v>
      </c>
    </row>
    <row r="8" spans="2:8" x14ac:dyDescent="0.25">
      <c r="B8" s="4" t="s">
        <v>38</v>
      </c>
      <c r="C8" s="185">
        <v>1355000000</v>
      </c>
      <c r="D8" s="185">
        <v>1197000000</v>
      </c>
      <c r="E8" s="185">
        <v>-7297000000</v>
      </c>
      <c r="F8" s="185">
        <v>-3079000000</v>
      </c>
      <c r="G8" s="185">
        <v>-11482000000</v>
      </c>
      <c r="H8" s="185">
        <v>356000000</v>
      </c>
    </row>
    <row r="9" spans="2:8" x14ac:dyDescent="0.25">
      <c r="B9" s="4" t="s">
        <v>39</v>
      </c>
      <c r="C9" s="185">
        <v>4483000000</v>
      </c>
      <c r="D9" s="185">
        <v>4838000000</v>
      </c>
      <c r="E9" s="185">
        <v>22583000000</v>
      </c>
      <c r="F9" s="185">
        <v>22545000000</v>
      </c>
      <c r="G9" s="185">
        <v>28983000000</v>
      </c>
      <c r="H9" s="185">
        <v>15725000000</v>
      </c>
    </row>
    <row r="10" spans="2:8" x14ac:dyDescent="0.25">
      <c r="B10" s="4" t="s">
        <v>40</v>
      </c>
      <c r="C10" s="185">
        <v>4315000000</v>
      </c>
      <c r="D10" s="185">
        <v>5083000000</v>
      </c>
      <c r="E10" s="185">
        <v>21354000000</v>
      </c>
      <c r="F10" s="185">
        <v>24009000000</v>
      </c>
      <c r="G10" s="185">
        <v>20983000000</v>
      </c>
      <c r="H10" s="185">
        <v>18172000000</v>
      </c>
    </row>
    <row r="11" spans="2:8" x14ac:dyDescent="0.25">
      <c r="B11" s="4" t="s">
        <v>41</v>
      </c>
      <c r="C11" s="185">
        <v>4315000000</v>
      </c>
      <c r="D11" s="185">
        <v>5083000000</v>
      </c>
      <c r="E11" s="185">
        <v>21354000000</v>
      </c>
      <c r="F11" s="185">
        <v>24009000000</v>
      </c>
      <c r="G11" s="185">
        <v>20983000000</v>
      </c>
      <c r="H11" s="185">
        <v>18172000000</v>
      </c>
    </row>
    <row r="12" spans="2:8" x14ac:dyDescent="0.25">
      <c r="B12" s="4" t="s">
        <v>42</v>
      </c>
      <c r="C12" s="185">
        <v>1359000000</v>
      </c>
      <c r="D12" s="185">
        <v>1582000000</v>
      </c>
      <c r="E12" s="185">
        <v>7193000000</v>
      </c>
      <c r="F12" s="185">
        <v>7985000000</v>
      </c>
      <c r="G12" s="185">
        <v>7037000000</v>
      </c>
      <c r="H12" s="185">
        <v>6012000000</v>
      </c>
    </row>
    <row r="13" spans="2:8" x14ac:dyDescent="0.25">
      <c r="B13" s="4" t="s">
        <v>43</v>
      </c>
      <c r="C13" s="185">
        <v>2956000000</v>
      </c>
      <c r="D13" s="185">
        <v>3501000000</v>
      </c>
      <c r="E13" s="185">
        <v>14161000000</v>
      </c>
      <c r="F13" s="185">
        <v>16024000000</v>
      </c>
      <c r="G13" s="185">
        <v>13946000000</v>
      </c>
      <c r="H13" s="185">
        <v>12160000000</v>
      </c>
    </row>
    <row r="14" spans="2:8" x14ac:dyDescent="0.25">
      <c r="B14" s="4" t="s">
        <v>44</v>
      </c>
      <c r="C14" s="185">
        <v>110000000</v>
      </c>
      <c r="D14" s="185">
        <v>178000000</v>
      </c>
      <c r="E14" s="185">
        <v>412000000</v>
      </c>
      <c r="F14" s="185">
        <v>500000000</v>
      </c>
      <c r="G14" s="185">
        <v>557000000</v>
      </c>
      <c r="H14" s="185">
        <v>678000000</v>
      </c>
    </row>
    <row r="15" spans="2:8" x14ac:dyDescent="0.25">
      <c r="B15" s="4" t="s">
        <v>45</v>
      </c>
      <c r="C15" s="185">
        <v>-186000000</v>
      </c>
      <c r="D15" s="185">
        <v>-511000000</v>
      </c>
      <c r="E15" s="185">
        <v>-2842000000</v>
      </c>
      <c r="F15" s="185">
        <v>-2344000000</v>
      </c>
      <c r="G15" s="185">
        <v>-1732000000</v>
      </c>
      <c r="H15" s="185">
        <v>-653000000</v>
      </c>
    </row>
    <row r="16" spans="2:8" x14ac:dyDescent="0.25">
      <c r="B16" s="4" t="s">
        <v>46</v>
      </c>
      <c r="C16" s="185">
        <v>28000000</v>
      </c>
      <c r="D16" s="185">
        <v>44000000</v>
      </c>
      <c r="E16" s="185">
        <v>-489000000</v>
      </c>
      <c r="F16" s="185">
        <v>6000000</v>
      </c>
      <c r="G16" s="185">
        <v>-76000000</v>
      </c>
      <c r="H16" s="185">
        <v>61000000</v>
      </c>
    </row>
    <row r="17" spans="2:8" x14ac:dyDescent="0.25">
      <c r="B17" s="4" t="s">
        <v>47</v>
      </c>
      <c r="C17" s="185">
        <v>-103000000</v>
      </c>
      <c r="D17" s="185">
        <v>-19000000</v>
      </c>
      <c r="E17" s="185">
        <v>-199000000</v>
      </c>
      <c r="F17" s="185">
        <v>0</v>
      </c>
      <c r="G17" s="185">
        <v>-227000000</v>
      </c>
      <c r="H17" s="185">
        <v>-27000000</v>
      </c>
    </row>
    <row r="18" spans="2:8" x14ac:dyDescent="0.25">
      <c r="B18" s="4" t="s">
        <v>48</v>
      </c>
      <c r="C18" s="185">
        <v>-36000000</v>
      </c>
      <c r="D18" s="4" t="s">
        <v>49</v>
      </c>
      <c r="E18" s="185">
        <v>-501000000</v>
      </c>
      <c r="F18" s="185">
        <v>-151000000</v>
      </c>
      <c r="G18" s="185">
        <v>-16000000</v>
      </c>
      <c r="H18" s="4" t="s">
        <v>49</v>
      </c>
    </row>
    <row r="19" spans="2:8" x14ac:dyDescent="0.25">
      <c r="B19" s="4" t="s">
        <v>50</v>
      </c>
      <c r="C19" s="185">
        <v>167000000</v>
      </c>
      <c r="D19" s="185">
        <v>63000000</v>
      </c>
      <c r="E19" s="185">
        <v>211000000</v>
      </c>
      <c r="F19" s="185">
        <v>157000000</v>
      </c>
      <c r="G19" s="185">
        <v>167000000</v>
      </c>
      <c r="H19" s="185">
        <v>63000000</v>
      </c>
    </row>
    <row r="20" spans="2:8" x14ac:dyDescent="0.25">
      <c r="B20" s="4" t="s">
        <v>51</v>
      </c>
      <c r="C20" s="185">
        <v>202000000</v>
      </c>
      <c r="D20" s="185">
        <v>-61000000</v>
      </c>
      <c r="E20" s="185">
        <v>2924000000</v>
      </c>
      <c r="F20" s="185">
        <v>115000000</v>
      </c>
      <c r="G20" s="185">
        <v>9136000000</v>
      </c>
      <c r="H20" s="185">
        <v>-2477000000</v>
      </c>
    </row>
    <row r="21" spans="2:8" x14ac:dyDescent="0.25">
      <c r="B21" s="4" t="s">
        <v>52</v>
      </c>
      <c r="C21" s="4" t="s">
        <v>49</v>
      </c>
      <c r="D21" s="4" t="s">
        <v>49</v>
      </c>
      <c r="E21" s="4" t="s">
        <v>49</v>
      </c>
      <c r="F21" s="185">
        <v>0</v>
      </c>
      <c r="G21" s="185">
        <v>9603000000</v>
      </c>
      <c r="H21" s="185">
        <v>353000000</v>
      </c>
    </row>
    <row r="22" spans="2:8" x14ac:dyDescent="0.25">
      <c r="B22" s="4" t="s">
        <v>53</v>
      </c>
      <c r="C22" s="185">
        <v>76000000</v>
      </c>
      <c r="D22" s="185">
        <v>10000000</v>
      </c>
      <c r="E22" s="185">
        <v>0</v>
      </c>
      <c r="F22" s="4" t="s">
        <v>49</v>
      </c>
      <c r="G22" s="185">
        <v>-632000000</v>
      </c>
      <c r="H22" s="185">
        <v>-2995000000</v>
      </c>
    </row>
    <row r="23" spans="2:8" x14ac:dyDescent="0.25">
      <c r="B23" s="4" t="s">
        <v>54</v>
      </c>
      <c r="C23" s="4" t="s">
        <v>49</v>
      </c>
      <c r="D23" s="4" t="s">
        <v>49</v>
      </c>
      <c r="E23" s="185">
        <v>2808000000</v>
      </c>
      <c r="F23" s="185">
        <v>115000000</v>
      </c>
      <c r="G23" s="185">
        <v>165000000</v>
      </c>
      <c r="H23" s="4" t="s">
        <v>49</v>
      </c>
    </row>
    <row r="24" spans="2:8" x14ac:dyDescent="0.25">
      <c r="B24" s="4" t="s">
        <v>55</v>
      </c>
      <c r="C24" s="185">
        <v>2000000</v>
      </c>
      <c r="D24" s="185">
        <v>-71000000</v>
      </c>
      <c r="E24" s="185">
        <v>116000000</v>
      </c>
      <c r="F24" s="4" t="s">
        <v>49</v>
      </c>
      <c r="G24" s="4" t="s">
        <v>49</v>
      </c>
      <c r="H24" s="4" t="s">
        <v>49</v>
      </c>
    </row>
    <row r="25" spans="2:8" x14ac:dyDescent="0.25">
      <c r="B25" s="4" t="s">
        <v>56</v>
      </c>
      <c r="C25" s="4" t="s">
        <v>49</v>
      </c>
      <c r="D25" s="4" t="s">
        <v>49</v>
      </c>
      <c r="E25" s="185">
        <v>116000000</v>
      </c>
      <c r="F25" s="4" t="s">
        <v>49</v>
      </c>
      <c r="G25" s="4" t="s">
        <v>49</v>
      </c>
      <c r="H25" s="4" t="s">
        <v>49</v>
      </c>
    </row>
    <row r="26" spans="2:8" x14ac:dyDescent="0.25">
      <c r="B26" s="4" t="s">
        <v>57</v>
      </c>
      <c r="C26" s="185">
        <v>2000000</v>
      </c>
      <c r="D26" s="4" t="s">
        <v>49</v>
      </c>
      <c r="E26" s="4" t="s">
        <v>49</v>
      </c>
      <c r="F26" s="4" t="s">
        <v>49</v>
      </c>
      <c r="G26" s="4" t="s">
        <v>49</v>
      </c>
      <c r="H26" s="4" t="s">
        <v>49</v>
      </c>
    </row>
    <row r="27" spans="2:8" x14ac:dyDescent="0.25">
      <c r="B27" s="4" t="s">
        <v>58</v>
      </c>
      <c r="C27" s="185">
        <v>124000000</v>
      </c>
      <c r="D27" s="185">
        <v>0</v>
      </c>
      <c r="E27" s="4" t="s">
        <v>49</v>
      </c>
      <c r="F27" s="4" t="s">
        <v>49</v>
      </c>
      <c r="G27" s="4" t="s">
        <v>49</v>
      </c>
      <c r="H27" s="4" t="s">
        <v>49</v>
      </c>
    </row>
    <row r="28" spans="2:8" x14ac:dyDescent="0.25">
      <c r="B28" s="4" t="s">
        <v>59</v>
      </c>
      <c r="C28" s="185">
        <v>14000000</v>
      </c>
      <c r="D28" s="185">
        <v>105000000</v>
      </c>
      <c r="E28" s="185">
        <v>1224000000</v>
      </c>
      <c r="F28" s="185">
        <v>259000000</v>
      </c>
      <c r="G28" s="185">
        <v>115000000</v>
      </c>
      <c r="H28" s="185">
        <v>-56000000</v>
      </c>
    </row>
    <row r="29" spans="2:8" x14ac:dyDescent="0.25">
      <c r="B29" s="4" t="s">
        <v>60</v>
      </c>
      <c r="C29" s="185">
        <v>-3099000000</v>
      </c>
      <c r="D29" s="185">
        <v>-3237000000</v>
      </c>
      <c r="E29" s="185">
        <v>-10982000000</v>
      </c>
      <c r="F29" s="185">
        <v>-11989000000</v>
      </c>
      <c r="G29" s="185">
        <v>-12126000000</v>
      </c>
      <c r="H29" s="185">
        <v>-10851000000</v>
      </c>
    </row>
    <row r="30" spans="2:8" x14ac:dyDescent="0.25">
      <c r="B30" s="4" t="s">
        <v>61</v>
      </c>
      <c r="C30" s="185">
        <v>105000000</v>
      </c>
      <c r="D30" s="185">
        <v>47000000</v>
      </c>
      <c r="E30" s="185">
        <v>181000000</v>
      </c>
      <c r="F30" s="185">
        <v>312000000</v>
      </c>
      <c r="G30" s="185">
        <v>1012000000</v>
      </c>
      <c r="H30" s="185">
        <v>295000000</v>
      </c>
    </row>
    <row r="31" spans="2:8" x14ac:dyDescent="0.25">
      <c r="B31" s="4" t="s">
        <v>62</v>
      </c>
      <c r="C31" s="4" t="s">
        <v>49</v>
      </c>
      <c r="D31" s="4" t="s">
        <v>49</v>
      </c>
      <c r="E31" s="4" t="s">
        <v>49</v>
      </c>
      <c r="F31" s="4" t="s">
        <v>49</v>
      </c>
      <c r="G31" s="4" t="s">
        <v>49</v>
      </c>
      <c r="H31" s="4" t="s">
        <v>49</v>
      </c>
    </row>
    <row r="32" spans="2:8" x14ac:dyDescent="0.25">
      <c r="B32" s="4" t="s">
        <v>63</v>
      </c>
      <c r="C32" s="4" t="s">
        <v>49</v>
      </c>
      <c r="D32" s="4" t="s">
        <v>49</v>
      </c>
      <c r="E32" s="4" t="s">
        <v>49</v>
      </c>
      <c r="F32" s="4" t="s">
        <v>49</v>
      </c>
      <c r="G32" s="4" t="s">
        <v>49</v>
      </c>
      <c r="H32" s="4" t="s">
        <v>49</v>
      </c>
    </row>
    <row r="33" spans="2:8" x14ac:dyDescent="0.25">
      <c r="B33" s="4" t="s">
        <v>64</v>
      </c>
      <c r="C33" s="185">
        <v>-131000000</v>
      </c>
      <c r="D33" s="185">
        <v>185000000</v>
      </c>
      <c r="E33" s="185">
        <v>-12562000000</v>
      </c>
      <c r="F33" s="185">
        <v>-13125000000</v>
      </c>
      <c r="G33" s="185">
        <v>-12878000000</v>
      </c>
      <c r="H33" s="185">
        <v>-11787000000</v>
      </c>
    </row>
    <row r="34" spans="2:8" x14ac:dyDescent="0.25">
      <c r="B34" s="4" t="s">
        <v>65</v>
      </c>
      <c r="C34" s="185">
        <v>-131000000</v>
      </c>
      <c r="D34" s="185">
        <v>185000000</v>
      </c>
      <c r="E34" s="185">
        <v>-12562000000</v>
      </c>
      <c r="F34" s="185">
        <v>-13125000000</v>
      </c>
      <c r="G34" s="185">
        <v>-12878000000</v>
      </c>
      <c r="H34" s="185">
        <v>-11787000000</v>
      </c>
    </row>
    <row r="35" spans="2:8" x14ac:dyDescent="0.25">
      <c r="B35" s="4" t="s">
        <v>66</v>
      </c>
      <c r="C35" s="185">
        <v>-131000000</v>
      </c>
      <c r="D35" s="185">
        <v>185000000</v>
      </c>
      <c r="E35" s="4" t="s">
        <v>49</v>
      </c>
      <c r="F35" s="185">
        <v>-820000000</v>
      </c>
      <c r="G35" s="185">
        <v>-529000000</v>
      </c>
      <c r="H35" s="185">
        <v>562000000</v>
      </c>
    </row>
    <row r="36" spans="2:8" x14ac:dyDescent="0.25">
      <c r="B36" s="4" t="s">
        <v>67</v>
      </c>
      <c r="C36" s="4" t="s">
        <v>49</v>
      </c>
      <c r="D36" s="4" t="s">
        <v>49</v>
      </c>
      <c r="E36" s="185">
        <v>-12562000000</v>
      </c>
      <c r="F36" s="185">
        <v>-12305000000</v>
      </c>
      <c r="G36" s="185">
        <v>-12349000000</v>
      </c>
      <c r="H36" s="4" t="s">
        <v>49</v>
      </c>
    </row>
    <row r="37" spans="2:8" x14ac:dyDescent="0.25">
      <c r="B37" s="4" t="s">
        <v>68</v>
      </c>
      <c r="C37" s="185">
        <v>-3073000000</v>
      </c>
      <c r="D37" s="185">
        <v>-3469000000</v>
      </c>
      <c r="E37" s="185">
        <v>1399000000</v>
      </c>
      <c r="F37" s="185">
        <v>824000000</v>
      </c>
      <c r="G37" s="185">
        <v>-260000000</v>
      </c>
      <c r="H37" s="185">
        <v>641000000</v>
      </c>
    </row>
    <row r="38" spans="2:8" x14ac:dyDescent="0.25">
      <c r="B38" s="4" t="s">
        <v>69</v>
      </c>
      <c r="C38" s="4" t="s">
        <v>49</v>
      </c>
      <c r="D38" s="4" t="s">
        <v>49</v>
      </c>
      <c r="E38" s="4" t="s">
        <v>49</v>
      </c>
      <c r="F38" s="4" t="s">
        <v>49</v>
      </c>
      <c r="G38" s="4" t="s">
        <v>49</v>
      </c>
      <c r="H38" s="4" t="s">
        <v>49</v>
      </c>
    </row>
    <row r="39" spans="2:8" x14ac:dyDescent="0.25">
      <c r="B39" s="4" t="s">
        <v>70</v>
      </c>
      <c r="C39" s="185">
        <v>-703000000</v>
      </c>
      <c r="D39" s="185">
        <v>-56000000</v>
      </c>
      <c r="E39" s="185">
        <v>3524000000</v>
      </c>
      <c r="F39" s="185">
        <v>-1259000000</v>
      </c>
      <c r="G39" s="185">
        <v>-349000000</v>
      </c>
      <c r="H39" s="185">
        <v>-755000000</v>
      </c>
    </row>
    <row r="40" spans="2:8" x14ac:dyDescent="0.25">
      <c r="B40" s="4" t="s">
        <v>71</v>
      </c>
      <c r="C40" s="185">
        <v>-703000000</v>
      </c>
      <c r="D40" s="185">
        <v>-56000000</v>
      </c>
      <c r="E40" s="185">
        <v>3524000000</v>
      </c>
      <c r="F40" s="185">
        <v>-1259000000</v>
      </c>
      <c r="G40" s="185">
        <v>-349000000</v>
      </c>
      <c r="H40" s="185">
        <v>-755000000</v>
      </c>
    </row>
    <row r="41" spans="2:8" x14ac:dyDescent="0.25">
      <c r="B41" s="4" t="s">
        <v>72</v>
      </c>
      <c r="C41" s="185">
        <v>-402000000</v>
      </c>
      <c r="D41" s="185">
        <v>-373000000</v>
      </c>
      <c r="E41" s="185">
        <v>-987000000</v>
      </c>
      <c r="F41" s="185">
        <v>-1316000000</v>
      </c>
      <c r="G41" s="185">
        <v>-948000000</v>
      </c>
      <c r="H41" s="185">
        <v>-1096000000</v>
      </c>
    </row>
    <row r="42" spans="2:8" x14ac:dyDescent="0.25">
      <c r="B42" s="4" t="s">
        <v>73</v>
      </c>
      <c r="C42" s="185">
        <v>-402000000</v>
      </c>
      <c r="D42" s="185">
        <v>-373000000</v>
      </c>
      <c r="E42" s="185">
        <v>-987000000</v>
      </c>
      <c r="F42" s="185">
        <v>-1316000000</v>
      </c>
      <c r="G42" s="185">
        <v>-948000000</v>
      </c>
      <c r="H42" s="185">
        <v>-1096000000</v>
      </c>
    </row>
    <row r="43" spans="2:8" x14ac:dyDescent="0.25">
      <c r="B43" s="4" t="s">
        <v>74</v>
      </c>
      <c r="C43" s="185">
        <v>-39000000</v>
      </c>
      <c r="D43" s="185">
        <v>-2000000</v>
      </c>
      <c r="E43" s="185">
        <v>3612000000</v>
      </c>
      <c r="F43" s="185">
        <v>-50000000</v>
      </c>
      <c r="G43" s="185">
        <v>0</v>
      </c>
      <c r="H43" s="4" t="s">
        <v>49</v>
      </c>
    </row>
    <row r="44" spans="2:8" x14ac:dyDescent="0.25">
      <c r="B44" s="4" t="s">
        <v>75</v>
      </c>
      <c r="C44" s="185">
        <v>-39000000</v>
      </c>
      <c r="D44" s="185">
        <v>-2000000</v>
      </c>
      <c r="E44" s="4" t="s">
        <v>49</v>
      </c>
      <c r="F44" s="185">
        <v>-50000000</v>
      </c>
      <c r="G44" s="185">
        <v>0</v>
      </c>
      <c r="H44" s="4" t="s">
        <v>49</v>
      </c>
    </row>
    <row r="45" spans="2:8" x14ac:dyDescent="0.25">
      <c r="B45" s="4" t="s">
        <v>76</v>
      </c>
      <c r="C45" s="185">
        <v>0</v>
      </c>
      <c r="D45" s="4" t="s">
        <v>49</v>
      </c>
      <c r="E45" s="185">
        <v>3612000000</v>
      </c>
      <c r="F45" s="4" t="s">
        <v>49</v>
      </c>
      <c r="G45" s="4" t="s">
        <v>49</v>
      </c>
      <c r="H45" s="4" t="s">
        <v>49</v>
      </c>
    </row>
    <row r="46" spans="2:8" x14ac:dyDescent="0.25">
      <c r="B46" s="4" t="s">
        <v>77</v>
      </c>
      <c r="C46" s="185">
        <v>-112000000</v>
      </c>
      <c r="D46" s="185">
        <v>-184000000</v>
      </c>
      <c r="E46" s="185">
        <v>-168000000</v>
      </c>
      <c r="F46" s="185">
        <v>-112000000</v>
      </c>
      <c r="G46" s="185">
        <v>-109000000</v>
      </c>
      <c r="H46" s="185">
        <v>-102000000</v>
      </c>
    </row>
    <row r="47" spans="2:8" x14ac:dyDescent="0.25">
      <c r="B47" s="4" t="s">
        <v>78</v>
      </c>
      <c r="C47" s="185">
        <v>-181000000</v>
      </c>
      <c r="D47" s="185">
        <v>-184000000</v>
      </c>
      <c r="E47" s="185">
        <v>-168000000</v>
      </c>
      <c r="F47" s="185">
        <v>-112000000</v>
      </c>
      <c r="G47" s="185">
        <v>-109000000</v>
      </c>
      <c r="H47" s="185">
        <v>-102000000</v>
      </c>
    </row>
    <row r="48" spans="2:8" x14ac:dyDescent="0.25">
      <c r="B48" s="4" t="s">
        <v>79</v>
      </c>
      <c r="C48" s="185">
        <v>69000000</v>
      </c>
      <c r="D48" s="4" t="s">
        <v>49</v>
      </c>
      <c r="E48" s="4" t="s">
        <v>49</v>
      </c>
      <c r="F48" s="4" t="s">
        <v>49</v>
      </c>
      <c r="G48" s="4" t="s">
        <v>49</v>
      </c>
      <c r="H48" s="4" t="s">
        <v>49</v>
      </c>
    </row>
    <row r="49" spans="2:8" x14ac:dyDescent="0.25">
      <c r="B49" s="4" t="s">
        <v>80</v>
      </c>
      <c r="C49" s="185">
        <v>-250000000</v>
      </c>
      <c r="D49" s="185">
        <v>410000000</v>
      </c>
      <c r="E49" s="185">
        <v>1058000000</v>
      </c>
      <c r="F49" s="185">
        <v>121000000</v>
      </c>
      <c r="G49" s="185">
        <v>677000000</v>
      </c>
      <c r="H49" s="185">
        <v>407000000</v>
      </c>
    </row>
    <row r="50" spans="2:8" x14ac:dyDescent="0.25">
      <c r="B50" s="4" t="s">
        <v>81</v>
      </c>
      <c r="C50" s="4" t="s">
        <v>49</v>
      </c>
      <c r="D50" s="185">
        <v>599000000</v>
      </c>
      <c r="E50" s="185">
        <v>1058000000</v>
      </c>
      <c r="F50" s="185">
        <v>121000000</v>
      </c>
      <c r="G50" s="185">
        <v>677000000</v>
      </c>
      <c r="H50" s="185">
        <v>407000000</v>
      </c>
    </row>
    <row r="51" spans="2:8" x14ac:dyDescent="0.25">
      <c r="B51" s="4" t="s">
        <v>82</v>
      </c>
      <c r="C51" s="185">
        <v>-250000000</v>
      </c>
      <c r="D51" s="185">
        <v>-189000000</v>
      </c>
      <c r="E51" s="185">
        <v>0</v>
      </c>
      <c r="F51" s="185">
        <v>0</v>
      </c>
      <c r="G51" s="4" t="s">
        <v>49</v>
      </c>
      <c r="H51" s="4" t="s">
        <v>49</v>
      </c>
    </row>
    <row r="52" spans="2:8" x14ac:dyDescent="0.25">
      <c r="B52" s="4" t="s">
        <v>83</v>
      </c>
      <c r="C52" s="185">
        <v>100000000</v>
      </c>
      <c r="D52" s="185">
        <v>93000000</v>
      </c>
      <c r="E52" s="185">
        <v>9000000</v>
      </c>
      <c r="F52" s="185">
        <v>98000000</v>
      </c>
      <c r="G52" s="185">
        <v>31000000</v>
      </c>
      <c r="H52" s="185">
        <v>36000000</v>
      </c>
    </row>
    <row r="53" spans="2:8" x14ac:dyDescent="0.25">
      <c r="B53" s="4" t="s">
        <v>84</v>
      </c>
      <c r="C53" s="4" t="s">
        <v>49</v>
      </c>
      <c r="D53" s="4" t="s">
        <v>49</v>
      </c>
      <c r="E53" s="4" t="s">
        <v>49</v>
      </c>
      <c r="F53" s="4" t="s">
        <v>49</v>
      </c>
      <c r="G53" s="4" t="s">
        <v>49</v>
      </c>
      <c r="H53" s="4" t="s">
        <v>49</v>
      </c>
    </row>
    <row r="54" spans="2:8" x14ac:dyDescent="0.25">
      <c r="B54" s="4" t="s">
        <v>85</v>
      </c>
      <c r="C54" s="4" t="s">
        <v>49</v>
      </c>
      <c r="D54" s="4" t="s">
        <v>49</v>
      </c>
      <c r="E54" s="4" t="s">
        <v>49</v>
      </c>
      <c r="F54" s="4" t="s">
        <v>49</v>
      </c>
      <c r="G54" s="4" t="s">
        <v>49</v>
      </c>
      <c r="H54" s="4" t="s">
        <v>49</v>
      </c>
    </row>
    <row r="55" spans="2:8" x14ac:dyDescent="0.25">
      <c r="B55" s="4" t="s">
        <v>86</v>
      </c>
      <c r="C55" s="4" t="s">
        <v>49</v>
      </c>
      <c r="D55" s="4" t="s">
        <v>49</v>
      </c>
      <c r="E55" s="4" t="s">
        <v>49</v>
      </c>
      <c r="F55" s="4" t="s">
        <v>49</v>
      </c>
      <c r="G55" s="4" t="s">
        <v>49</v>
      </c>
      <c r="H55" s="4" t="s">
        <v>49</v>
      </c>
    </row>
    <row r="56" spans="2:8" x14ac:dyDescent="0.25">
      <c r="B56" s="4" t="s">
        <v>87</v>
      </c>
      <c r="C56" s="185">
        <v>-1549000000</v>
      </c>
      <c r="D56" s="185">
        <v>-853000000</v>
      </c>
      <c r="E56" s="185">
        <v>-7742000000</v>
      </c>
      <c r="F56" s="185">
        <v>-5837000000</v>
      </c>
      <c r="G56" s="185">
        <v>-3749000000</v>
      </c>
      <c r="H56" s="185">
        <v>-3723000000</v>
      </c>
    </row>
    <row r="57" spans="2:8" x14ac:dyDescent="0.25">
      <c r="B57" s="4" t="s">
        <v>88</v>
      </c>
      <c r="C57" s="185">
        <v>-1549000000</v>
      </c>
      <c r="D57" s="185">
        <v>-853000000</v>
      </c>
      <c r="E57" s="185">
        <v>-7742000000</v>
      </c>
      <c r="F57" s="185">
        <v>-5837000000</v>
      </c>
      <c r="G57" s="185">
        <v>-3749000000</v>
      </c>
      <c r="H57" s="185">
        <v>-3723000000</v>
      </c>
    </row>
    <row r="58" spans="2:8" x14ac:dyDescent="0.25">
      <c r="B58" s="4" t="s">
        <v>89</v>
      </c>
      <c r="C58" s="185">
        <v>-214000000</v>
      </c>
      <c r="D58" s="185">
        <v>-574000000</v>
      </c>
      <c r="E58" s="185">
        <v>-7317000000</v>
      </c>
      <c r="F58" s="185">
        <v>-5371000000</v>
      </c>
      <c r="G58" s="185">
        <v>-3426000000</v>
      </c>
      <c r="H58" s="185">
        <v>-3850000000</v>
      </c>
    </row>
    <row r="59" spans="2:8" x14ac:dyDescent="0.25">
      <c r="B59" s="4" t="s">
        <v>90</v>
      </c>
      <c r="C59" s="185">
        <v>0</v>
      </c>
      <c r="D59" s="185">
        <v>0</v>
      </c>
      <c r="E59" s="185">
        <v>-2000000</v>
      </c>
      <c r="F59" s="185">
        <v>-7000000</v>
      </c>
      <c r="G59" s="185">
        <v>0</v>
      </c>
      <c r="H59" s="185">
        <v>0</v>
      </c>
    </row>
    <row r="60" spans="2:8" x14ac:dyDescent="0.25">
      <c r="B60" s="4" t="s">
        <v>91</v>
      </c>
      <c r="C60" s="185">
        <v>500000000</v>
      </c>
      <c r="D60" s="185">
        <v>0</v>
      </c>
      <c r="E60" s="185">
        <v>2393000000</v>
      </c>
      <c r="F60" s="185">
        <v>5207000000</v>
      </c>
      <c r="G60" s="185">
        <v>14203000000</v>
      </c>
      <c r="H60" s="185">
        <v>3551000000</v>
      </c>
    </row>
    <row r="61" spans="2:8" x14ac:dyDescent="0.25">
      <c r="B61" s="4" t="s">
        <v>92</v>
      </c>
      <c r="C61" s="185">
        <v>-500000000</v>
      </c>
      <c r="D61" s="185">
        <v>0</v>
      </c>
      <c r="E61" s="185">
        <v>-2395000000</v>
      </c>
      <c r="F61" s="185">
        <v>-5214000000</v>
      </c>
      <c r="G61" s="185">
        <v>-14203000000</v>
      </c>
      <c r="H61" s="185">
        <v>-3551000000</v>
      </c>
    </row>
    <row r="62" spans="2:8" x14ac:dyDescent="0.25">
      <c r="B62" s="4" t="s">
        <v>93</v>
      </c>
      <c r="C62" s="185">
        <v>-214000000</v>
      </c>
      <c r="D62" s="185">
        <v>-574000000</v>
      </c>
      <c r="E62" s="185">
        <v>-7315000000</v>
      </c>
      <c r="F62" s="185">
        <v>-5364000000</v>
      </c>
      <c r="G62" s="185">
        <v>-3426000000</v>
      </c>
      <c r="H62" s="185">
        <v>-3850000000</v>
      </c>
    </row>
    <row r="63" spans="2:8" x14ac:dyDescent="0.25">
      <c r="B63" s="4" t="s">
        <v>94</v>
      </c>
      <c r="C63" s="185">
        <v>1979000000</v>
      </c>
      <c r="D63" s="185">
        <v>0</v>
      </c>
      <c r="E63" s="185">
        <v>0</v>
      </c>
      <c r="F63" s="185">
        <v>1496000000</v>
      </c>
      <c r="G63" s="185">
        <v>1617000000</v>
      </c>
      <c r="H63" s="185">
        <v>18306000000</v>
      </c>
    </row>
    <row r="64" spans="2:8" x14ac:dyDescent="0.25">
      <c r="B64" s="4" t="s">
        <v>95</v>
      </c>
      <c r="C64" s="185">
        <v>-2193000000</v>
      </c>
      <c r="D64" s="185">
        <v>-574000000</v>
      </c>
      <c r="E64" s="185">
        <v>-7315000000</v>
      </c>
      <c r="F64" s="185">
        <v>-6860000000</v>
      </c>
      <c r="G64" s="185">
        <v>-5043000000</v>
      </c>
      <c r="H64" s="185">
        <v>-22156000000</v>
      </c>
    </row>
    <row r="65" spans="2:8" x14ac:dyDescent="0.25">
      <c r="B65" s="4" t="s">
        <v>96</v>
      </c>
      <c r="C65" s="4" t="s">
        <v>49</v>
      </c>
      <c r="D65" s="4" t="s">
        <v>49</v>
      </c>
      <c r="E65" s="4" t="s">
        <v>49</v>
      </c>
      <c r="F65" s="185">
        <v>-49000000</v>
      </c>
      <c r="G65" s="185">
        <v>0</v>
      </c>
      <c r="H65" s="4" t="s">
        <v>49</v>
      </c>
    </row>
    <row r="66" spans="2:8" x14ac:dyDescent="0.25">
      <c r="B66" s="4" t="s">
        <v>97</v>
      </c>
      <c r="C66" s="185">
        <v>-254000000</v>
      </c>
      <c r="D66" s="185">
        <v>-251000000</v>
      </c>
      <c r="E66" s="185">
        <v>-300000000</v>
      </c>
      <c r="F66" s="185">
        <v>-301000000</v>
      </c>
      <c r="G66" s="185">
        <v>-193000000</v>
      </c>
      <c r="H66" s="185">
        <v>-209000000</v>
      </c>
    </row>
    <row r="67" spans="2:8" x14ac:dyDescent="0.25">
      <c r="B67" s="4" t="s">
        <v>98</v>
      </c>
      <c r="C67" s="185">
        <v>-112000000</v>
      </c>
      <c r="D67" s="185">
        <v>-28000000</v>
      </c>
      <c r="E67" s="185">
        <v>-125000000</v>
      </c>
      <c r="F67" s="185">
        <v>-116000000</v>
      </c>
      <c r="G67" s="185">
        <v>-130000000</v>
      </c>
      <c r="H67" s="185">
        <v>-297000000</v>
      </c>
    </row>
    <row r="68" spans="2:8" x14ac:dyDescent="0.25">
      <c r="B68" s="4" t="s">
        <v>99</v>
      </c>
      <c r="C68" s="185">
        <v>-969000000</v>
      </c>
      <c r="D68" s="185">
        <v>0</v>
      </c>
      <c r="E68" s="185">
        <v>0</v>
      </c>
      <c r="F68" s="4" t="s">
        <v>49</v>
      </c>
      <c r="G68" s="4" t="s">
        <v>49</v>
      </c>
      <c r="H68" s="4" t="s">
        <v>49</v>
      </c>
    </row>
    <row r="69" spans="2:8" x14ac:dyDescent="0.25">
      <c r="B69" s="4" t="s">
        <v>100</v>
      </c>
      <c r="C69" s="185">
        <v>-969000000</v>
      </c>
      <c r="D69" s="185">
        <v>0</v>
      </c>
      <c r="E69" s="185">
        <v>0</v>
      </c>
      <c r="F69" s="4" t="s">
        <v>49</v>
      </c>
      <c r="G69" s="4" t="s">
        <v>49</v>
      </c>
      <c r="H69" s="4" t="s">
        <v>49</v>
      </c>
    </row>
    <row r="70" spans="2:8" x14ac:dyDescent="0.25">
      <c r="B70" s="4" t="s">
        <v>101</v>
      </c>
      <c r="C70" s="4" t="s">
        <v>49</v>
      </c>
      <c r="D70" s="4" t="s">
        <v>49</v>
      </c>
      <c r="E70" s="4" t="s">
        <v>49</v>
      </c>
      <c r="F70" s="4" t="s">
        <v>49</v>
      </c>
      <c r="G70" s="4" t="s">
        <v>49</v>
      </c>
      <c r="H70" s="4" t="s">
        <v>49</v>
      </c>
    </row>
    <row r="71" spans="2:8" x14ac:dyDescent="0.25">
      <c r="B71" s="4" t="s">
        <v>102</v>
      </c>
      <c r="C71" s="4" t="s">
        <v>49</v>
      </c>
      <c r="D71" s="4" t="s">
        <v>49</v>
      </c>
      <c r="E71" s="4" t="s">
        <v>49</v>
      </c>
      <c r="F71" s="4" t="s">
        <v>49</v>
      </c>
      <c r="G71" s="4" t="s">
        <v>49</v>
      </c>
      <c r="H71" s="4" t="s">
        <v>49</v>
      </c>
    </row>
    <row r="72" spans="2:8" x14ac:dyDescent="0.25">
      <c r="B72" s="4" t="s">
        <v>103</v>
      </c>
      <c r="C72" s="4" t="s">
        <v>49</v>
      </c>
      <c r="D72" s="4" t="s">
        <v>49</v>
      </c>
      <c r="E72" s="4" t="s">
        <v>49</v>
      </c>
      <c r="F72" s="4" t="s">
        <v>49</v>
      </c>
      <c r="G72" s="4" t="s">
        <v>49</v>
      </c>
      <c r="H72" s="4" t="s">
        <v>49</v>
      </c>
    </row>
    <row r="73" spans="2:8" x14ac:dyDescent="0.25">
      <c r="B73" s="4" t="s">
        <v>104</v>
      </c>
      <c r="C73" s="4" t="s">
        <v>49</v>
      </c>
      <c r="D73" s="4" t="s">
        <v>49</v>
      </c>
      <c r="E73" s="4" t="s">
        <v>49</v>
      </c>
      <c r="F73" s="4" t="s">
        <v>49</v>
      </c>
      <c r="G73" s="4" t="s">
        <v>49</v>
      </c>
      <c r="H73" s="4" t="s">
        <v>49</v>
      </c>
    </row>
    <row r="74" spans="2:8" x14ac:dyDescent="0.25">
      <c r="B74" s="4" t="s">
        <v>105</v>
      </c>
      <c r="C74" s="4" t="s">
        <v>49</v>
      </c>
      <c r="D74" s="4" t="s">
        <v>49</v>
      </c>
      <c r="E74" s="4" t="s">
        <v>49</v>
      </c>
      <c r="F74" s="4" t="s">
        <v>49</v>
      </c>
      <c r="G74" s="4" t="s">
        <v>49</v>
      </c>
      <c r="H74" s="4" t="s">
        <v>49</v>
      </c>
    </row>
    <row r="75" spans="2:8" x14ac:dyDescent="0.25">
      <c r="B75" s="4" t="s">
        <v>106</v>
      </c>
      <c r="C75" s="4" t="s">
        <v>49</v>
      </c>
      <c r="D75" s="4" t="s">
        <v>49</v>
      </c>
      <c r="E75" s="4" t="s">
        <v>49</v>
      </c>
      <c r="F75" s="4" t="s">
        <v>49</v>
      </c>
      <c r="G75" s="4" t="s">
        <v>49</v>
      </c>
      <c r="H75" s="4" t="s">
        <v>49</v>
      </c>
    </row>
    <row r="76" spans="2:8" x14ac:dyDescent="0.25">
      <c r="B76" s="4" t="s">
        <v>107</v>
      </c>
      <c r="C76" s="185">
        <v>2122000000</v>
      </c>
      <c r="D76" s="185">
        <v>3905000000</v>
      </c>
      <c r="E76" s="185">
        <v>3930000000</v>
      </c>
      <c r="F76" s="185">
        <v>4319000000</v>
      </c>
      <c r="G76" s="185">
        <v>5416000000</v>
      </c>
      <c r="H76" s="185">
        <v>4298000000</v>
      </c>
    </row>
    <row r="77" spans="2:8" x14ac:dyDescent="0.25">
      <c r="B77" s="4" t="s">
        <v>108</v>
      </c>
      <c r="C77" s="185">
        <v>487000000</v>
      </c>
      <c r="D77" s="185">
        <v>1889000000</v>
      </c>
      <c r="E77" s="185">
        <v>86000000</v>
      </c>
      <c r="F77" s="185">
        <v>381000000</v>
      </c>
      <c r="G77" s="185">
        <v>1277000000</v>
      </c>
      <c r="H77" s="185">
        <v>752000000</v>
      </c>
    </row>
    <row r="78" spans="2:8" x14ac:dyDescent="0.25">
      <c r="B78" s="4" t="s">
        <v>109</v>
      </c>
      <c r="C78" s="185">
        <v>83000000</v>
      </c>
      <c r="D78" s="185">
        <v>-106000000</v>
      </c>
      <c r="E78" s="185">
        <v>-61000000</v>
      </c>
      <c r="F78" s="185">
        <v>8000000</v>
      </c>
      <c r="G78" s="185">
        <v>-180000000</v>
      </c>
      <c r="H78" s="185">
        <v>56000000</v>
      </c>
    </row>
    <row r="79" spans="2:8" x14ac:dyDescent="0.25">
      <c r="B79" s="4" t="s">
        <v>110</v>
      </c>
      <c r="C79" s="185">
        <v>1552000000</v>
      </c>
      <c r="D79" s="185">
        <v>2122000000</v>
      </c>
      <c r="E79" s="185">
        <v>3905000000</v>
      </c>
      <c r="F79" s="185">
        <v>3930000000</v>
      </c>
      <c r="G79" s="185">
        <v>4319000000</v>
      </c>
      <c r="H79" s="185">
        <v>3490000000</v>
      </c>
    </row>
    <row r="80" spans="2:8" x14ac:dyDescent="0.25">
      <c r="B80" s="4" t="s">
        <v>111</v>
      </c>
      <c r="C80" s="4" t="s">
        <v>49</v>
      </c>
      <c r="D80" s="4" t="s">
        <v>49</v>
      </c>
      <c r="E80" s="4" t="s">
        <v>49</v>
      </c>
      <c r="F80" s="4" t="s">
        <v>49</v>
      </c>
      <c r="G80" s="4" t="s">
        <v>49</v>
      </c>
      <c r="H80" s="4" t="s">
        <v>49</v>
      </c>
    </row>
    <row r="81" spans="2:8" x14ac:dyDescent="0.25">
      <c r="B81" s="4" t="s">
        <v>112</v>
      </c>
      <c r="C81" s="185">
        <v>570000000</v>
      </c>
      <c r="D81" s="185">
        <v>1783000000</v>
      </c>
      <c r="E81" s="185">
        <v>25000000</v>
      </c>
      <c r="F81" s="185">
        <v>389000000</v>
      </c>
      <c r="G81" s="185">
        <v>1097000000</v>
      </c>
      <c r="H81" s="185">
        <v>808000000</v>
      </c>
    </row>
    <row r="82" spans="2:8" x14ac:dyDescent="0.25">
      <c r="B82" s="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A252-EA8E-4FA9-BBF5-7553EAA1AF57}">
  <dimension ref="A2:H66"/>
  <sheetViews>
    <sheetView showGridLines="0" workbookViewId="0">
      <selection activeCell="J14" sqref="J14"/>
    </sheetView>
  </sheetViews>
  <sheetFormatPr defaultRowHeight="15" x14ac:dyDescent="0.25"/>
  <cols>
    <col min="1" max="1" width="9.140625" style="2"/>
    <col min="2" max="2" width="75.28515625" style="2" bestFit="1" customWidth="1"/>
    <col min="3" max="8" width="13.42578125" style="2" bestFit="1" customWidth="1"/>
    <col min="9" max="16384" width="9.140625" style="2"/>
  </cols>
  <sheetData>
    <row r="2" spans="1:8" ht="26.25" x14ac:dyDescent="0.25">
      <c r="B2" s="1" t="s">
        <v>535</v>
      </c>
      <c r="C2" s="1"/>
      <c r="D2" s="1"/>
      <c r="E2" s="1"/>
      <c r="F2" s="1"/>
      <c r="G2" s="1"/>
      <c r="H2" s="1"/>
    </row>
    <row r="3" spans="1:8" s="4" customFormat="1" ht="9" customHeight="1" x14ac:dyDescent="0.25">
      <c r="A3" s="2"/>
    </row>
    <row r="4" spans="1:8" s="4" customFormat="1" x14ac:dyDescent="0.25">
      <c r="A4" s="2"/>
      <c r="B4" s="176" t="s">
        <v>355</v>
      </c>
      <c r="C4" s="176" t="s">
        <v>29</v>
      </c>
      <c r="D4" s="176" t="s">
        <v>30</v>
      </c>
      <c r="E4" s="176" t="s">
        <v>31</v>
      </c>
      <c r="F4" s="176" t="s">
        <v>32</v>
      </c>
      <c r="G4" s="176" t="s">
        <v>33</v>
      </c>
      <c r="H4" s="176" t="s">
        <v>34</v>
      </c>
    </row>
    <row r="5" spans="1:8" s="4" customFormat="1" x14ac:dyDescent="0.25">
      <c r="A5" s="2"/>
      <c r="B5" s="4" t="s">
        <v>35</v>
      </c>
      <c r="C5" s="185">
        <v>2427077000</v>
      </c>
      <c r="D5" s="185">
        <v>392610000</v>
      </c>
      <c r="E5" s="185">
        <v>2026257000</v>
      </c>
      <c r="F5" s="185">
        <v>7274301000</v>
      </c>
      <c r="G5" s="185">
        <v>7361364000</v>
      </c>
      <c r="H5" s="185">
        <v>9574525000</v>
      </c>
    </row>
    <row r="6" spans="1:8" s="4" customFormat="1" x14ac:dyDescent="0.25">
      <c r="A6" s="2"/>
      <c r="B6" s="4" t="s">
        <v>36</v>
      </c>
      <c r="C6" s="185">
        <v>2427077000</v>
      </c>
      <c r="D6" s="185">
        <v>392610000</v>
      </c>
      <c r="E6" s="185">
        <v>2026257000</v>
      </c>
      <c r="F6" s="185">
        <v>7274301000</v>
      </c>
      <c r="G6" s="185">
        <v>7361364000</v>
      </c>
      <c r="H6" s="185">
        <v>9574525000</v>
      </c>
    </row>
    <row r="7" spans="1:8" s="4" customFormat="1" x14ac:dyDescent="0.25">
      <c r="A7" s="2"/>
      <c r="B7" s="4" t="s">
        <v>37</v>
      </c>
      <c r="C7" s="185">
        <v>14206361000</v>
      </c>
      <c r="D7" s="185">
        <v>18094812000</v>
      </c>
      <c r="E7" s="185">
        <v>18865295000</v>
      </c>
      <c r="F7" s="185">
        <v>7274301000</v>
      </c>
      <c r="G7" s="185">
        <v>7361364000</v>
      </c>
      <c r="H7" s="185">
        <v>-2219690000</v>
      </c>
    </row>
    <row r="8" spans="1:8" s="4" customFormat="1" x14ac:dyDescent="0.25">
      <c r="A8" s="2"/>
      <c r="B8" s="4" t="s">
        <v>38</v>
      </c>
      <c r="C8" s="185">
        <v>2761395000</v>
      </c>
      <c r="D8" s="185">
        <v>5116228000</v>
      </c>
      <c r="E8" s="185">
        <v>4491924000</v>
      </c>
      <c r="F8" s="185">
        <v>5407990000</v>
      </c>
      <c r="G8" s="185">
        <v>8711631000</v>
      </c>
      <c r="H8" s="185">
        <v>10431287000</v>
      </c>
    </row>
    <row r="9" spans="1:8" s="4" customFormat="1" x14ac:dyDescent="0.25">
      <c r="A9" s="2"/>
      <c r="B9" s="4" t="s">
        <v>39</v>
      </c>
      <c r="C9" s="185">
        <v>11476839000</v>
      </c>
      <c r="D9" s="185">
        <v>13220561000</v>
      </c>
      <c r="E9" s="185">
        <v>15131458000</v>
      </c>
      <c r="F9" s="185">
        <v>1982459000</v>
      </c>
      <c r="G9" s="185">
        <v>-1317192000</v>
      </c>
      <c r="H9" s="185">
        <v>-12376658000</v>
      </c>
    </row>
    <row r="10" spans="1:8" s="4" customFormat="1" x14ac:dyDescent="0.25">
      <c r="A10" s="2"/>
      <c r="B10" s="4" t="s">
        <v>40</v>
      </c>
      <c r="C10" s="185">
        <v>10922622000</v>
      </c>
      <c r="D10" s="185">
        <v>12438779000</v>
      </c>
      <c r="E10" s="185">
        <v>14362814000</v>
      </c>
      <c r="F10" s="185">
        <v>14554384000</v>
      </c>
      <c r="G10" s="185">
        <v>15630431000</v>
      </c>
      <c r="H10" s="185">
        <v>16146376000</v>
      </c>
    </row>
    <row r="11" spans="1:8" s="4" customFormat="1" x14ac:dyDescent="0.25">
      <c r="A11" s="2"/>
      <c r="B11" s="4" t="s">
        <v>41</v>
      </c>
      <c r="C11" s="185">
        <v>10922622000</v>
      </c>
      <c r="D11" s="185">
        <v>12438779000</v>
      </c>
      <c r="E11" s="185">
        <v>14362814000</v>
      </c>
      <c r="F11" s="185">
        <v>14554384000</v>
      </c>
      <c r="G11" s="185">
        <v>15630431000</v>
      </c>
      <c r="H11" s="185">
        <v>16146376000</v>
      </c>
    </row>
    <row r="12" spans="1:8" s="4" customFormat="1" x14ac:dyDescent="0.25">
      <c r="A12" s="2"/>
      <c r="B12" s="4" t="s">
        <v>42</v>
      </c>
      <c r="C12" s="185">
        <v>115710000</v>
      </c>
      <c r="D12" s="185">
        <v>208412000</v>
      </c>
      <c r="E12" s="185">
        <v>336682000</v>
      </c>
      <c r="F12" s="185">
        <v>356947000</v>
      </c>
      <c r="G12" s="185">
        <v>328914000</v>
      </c>
      <c r="H12" s="185">
        <v>326945000</v>
      </c>
    </row>
    <row r="13" spans="1:8" s="4" customFormat="1" x14ac:dyDescent="0.25">
      <c r="A13" s="2"/>
      <c r="B13" s="4" t="s">
        <v>43</v>
      </c>
      <c r="C13" s="185">
        <v>10806912000</v>
      </c>
      <c r="D13" s="185">
        <v>12230367000</v>
      </c>
      <c r="E13" s="185">
        <v>14026132000</v>
      </c>
      <c r="F13" s="185">
        <v>14197437000</v>
      </c>
      <c r="G13" s="185">
        <v>15301517000</v>
      </c>
      <c r="H13" s="185">
        <v>15819431000</v>
      </c>
    </row>
    <row r="14" spans="1:8" s="4" customFormat="1" x14ac:dyDescent="0.25">
      <c r="A14" s="2"/>
      <c r="B14" s="4" t="s">
        <v>44</v>
      </c>
      <c r="C14" s="185">
        <v>415180000</v>
      </c>
      <c r="D14" s="185">
        <v>403220000</v>
      </c>
      <c r="E14" s="185">
        <v>575452000</v>
      </c>
      <c r="F14" s="185">
        <v>339368000</v>
      </c>
      <c r="G14" s="185">
        <v>272588000</v>
      </c>
      <c r="H14" s="185">
        <v>295652000</v>
      </c>
    </row>
    <row r="15" spans="1:8" s="4" customFormat="1" x14ac:dyDescent="0.25">
      <c r="A15" s="2"/>
      <c r="B15" s="4" t="s">
        <v>45</v>
      </c>
      <c r="C15" s="185">
        <v>70066000</v>
      </c>
      <c r="D15" s="185">
        <v>199548000</v>
      </c>
      <c r="E15" s="185">
        <v>-166550000</v>
      </c>
      <c r="F15" s="185">
        <v>-459359000</v>
      </c>
      <c r="G15" s="185">
        <v>-590698000</v>
      </c>
      <c r="H15" s="185">
        <v>-352396000</v>
      </c>
    </row>
    <row r="16" spans="1:8" s="4" customFormat="1" x14ac:dyDescent="0.25">
      <c r="A16" s="2"/>
      <c r="B16" s="4" t="s">
        <v>46</v>
      </c>
      <c r="C16" s="185">
        <v>533278000</v>
      </c>
      <c r="D16" s="185">
        <v>-430661000</v>
      </c>
      <c r="E16" s="185">
        <v>-353111000</v>
      </c>
      <c r="F16" s="185">
        <v>176296000</v>
      </c>
      <c r="G16" s="185">
        <v>-121539000</v>
      </c>
      <c r="H16" s="185">
        <v>29223000</v>
      </c>
    </row>
    <row r="17" spans="1:8" s="4" customFormat="1" x14ac:dyDescent="0.25">
      <c r="A17" s="2"/>
      <c r="B17" s="4" t="s">
        <v>356</v>
      </c>
      <c r="C17" s="185">
        <v>533278000</v>
      </c>
      <c r="D17" s="185">
        <v>-430661000</v>
      </c>
      <c r="E17" s="185">
        <v>-353111000</v>
      </c>
      <c r="F17" s="185">
        <v>176296000</v>
      </c>
      <c r="G17" s="185">
        <v>-121539000</v>
      </c>
      <c r="H17" s="185">
        <v>29223000</v>
      </c>
    </row>
    <row r="18" spans="1:8" s="4" customFormat="1" x14ac:dyDescent="0.25">
      <c r="A18" s="2"/>
      <c r="B18" s="4" t="s">
        <v>59</v>
      </c>
      <c r="C18" s="185">
        <v>-464307000</v>
      </c>
      <c r="D18" s="185">
        <v>609675000</v>
      </c>
      <c r="E18" s="185">
        <v>712853000</v>
      </c>
      <c r="F18" s="185">
        <v>-12628230000</v>
      </c>
      <c r="G18" s="185">
        <v>-16507974000</v>
      </c>
      <c r="H18" s="185">
        <v>-28495513000</v>
      </c>
    </row>
    <row r="19" spans="1:8" s="4" customFormat="1" x14ac:dyDescent="0.25">
      <c r="A19" s="2"/>
      <c r="B19" s="4" t="s">
        <v>357</v>
      </c>
      <c r="C19" s="4" t="s">
        <v>49</v>
      </c>
      <c r="D19" s="4" t="s">
        <v>49</v>
      </c>
      <c r="E19" s="4" t="s">
        <v>49</v>
      </c>
      <c r="F19" s="4" t="s">
        <v>49</v>
      </c>
      <c r="G19" s="4" t="s">
        <v>49</v>
      </c>
      <c r="H19" s="4" t="s">
        <v>49</v>
      </c>
    </row>
    <row r="20" spans="1:8" s="4" customFormat="1" x14ac:dyDescent="0.25">
      <c r="A20" s="2"/>
      <c r="B20" s="4" t="s">
        <v>51</v>
      </c>
      <c r="C20" s="4" t="s">
        <v>49</v>
      </c>
      <c r="D20" s="4" t="s">
        <v>49</v>
      </c>
      <c r="E20" s="4" t="s">
        <v>49</v>
      </c>
      <c r="F20" s="4" t="s">
        <v>49</v>
      </c>
      <c r="G20" s="4" t="s">
        <v>49</v>
      </c>
      <c r="H20" s="4" t="s">
        <v>49</v>
      </c>
    </row>
    <row r="21" spans="1:8" s="4" customFormat="1" x14ac:dyDescent="0.25">
      <c r="A21" s="2"/>
      <c r="B21" s="4" t="s">
        <v>53</v>
      </c>
      <c r="C21" s="4" t="s">
        <v>49</v>
      </c>
      <c r="D21" s="4" t="s">
        <v>49</v>
      </c>
      <c r="E21" s="4" t="s">
        <v>49</v>
      </c>
      <c r="F21" s="4" t="s">
        <v>49</v>
      </c>
      <c r="G21" s="4" t="s">
        <v>49</v>
      </c>
      <c r="H21" s="4" t="s">
        <v>49</v>
      </c>
    </row>
    <row r="22" spans="1:8" s="4" customFormat="1" x14ac:dyDescent="0.25">
      <c r="A22" s="2"/>
      <c r="B22" s="4" t="s">
        <v>60</v>
      </c>
      <c r="C22" s="185">
        <v>-31873000</v>
      </c>
      <c r="D22" s="185">
        <v>-241977000</v>
      </c>
      <c r="E22" s="185">
        <v>-758087000</v>
      </c>
      <c r="F22" s="185">
        <v>-116148000</v>
      </c>
      <c r="G22" s="185">
        <v>-33075000</v>
      </c>
      <c r="H22" s="185">
        <v>-274319000</v>
      </c>
    </row>
    <row r="23" spans="1:8" s="4" customFormat="1" x14ac:dyDescent="0.25">
      <c r="A23" s="2"/>
      <c r="B23" s="4" t="s">
        <v>358</v>
      </c>
      <c r="C23" s="185">
        <v>-187623000</v>
      </c>
      <c r="D23" s="185">
        <v>-369681000</v>
      </c>
      <c r="E23" s="185">
        <v>-353834000</v>
      </c>
      <c r="F23" s="185">
        <v>-181003000</v>
      </c>
      <c r="G23" s="185">
        <v>22180000</v>
      </c>
      <c r="H23" s="185">
        <v>-519513000</v>
      </c>
    </row>
    <row r="24" spans="1:8" s="4" customFormat="1" x14ac:dyDescent="0.25">
      <c r="A24" s="2"/>
      <c r="B24" s="4" t="s">
        <v>64</v>
      </c>
      <c r="C24" s="185">
        <v>156578000</v>
      </c>
      <c r="D24" s="185">
        <v>325453000</v>
      </c>
      <c r="E24" s="185">
        <v>-214056000</v>
      </c>
      <c r="F24" s="185">
        <v>197067000</v>
      </c>
      <c r="G24" s="185">
        <v>313252000</v>
      </c>
      <c r="H24" s="185">
        <v>751188000</v>
      </c>
    </row>
    <row r="25" spans="1:8" s="4" customFormat="1" x14ac:dyDescent="0.25">
      <c r="A25" s="2"/>
      <c r="B25" s="4" t="s">
        <v>65</v>
      </c>
      <c r="C25" s="185">
        <v>-41605000</v>
      </c>
      <c r="D25" s="185">
        <v>145115000</v>
      </c>
      <c r="E25" s="185">
        <v>-158543000</v>
      </c>
      <c r="F25" s="185">
        <v>93502000</v>
      </c>
      <c r="G25" s="185">
        <v>121353000</v>
      </c>
      <c r="H25" s="185">
        <v>129450000</v>
      </c>
    </row>
    <row r="26" spans="1:8" s="4" customFormat="1" x14ac:dyDescent="0.25">
      <c r="A26" s="2"/>
      <c r="B26" s="4" t="s">
        <v>66</v>
      </c>
      <c r="C26" s="185">
        <v>-41605000</v>
      </c>
      <c r="D26" s="185">
        <v>145115000</v>
      </c>
      <c r="E26" s="185">
        <v>-158543000</v>
      </c>
      <c r="F26" s="185">
        <v>93502000</v>
      </c>
      <c r="G26" s="185">
        <v>121353000</v>
      </c>
      <c r="H26" s="185">
        <v>129450000</v>
      </c>
    </row>
    <row r="27" spans="1:8" s="4" customFormat="1" x14ac:dyDescent="0.25">
      <c r="A27" s="2"/>
      <c r="B27" s="4" t="s">
        <v>359</v>
      </c>
      <c r="C27" s="185">
        <v>198183000</v>
      </c>
      <c r="D27" s="185">
        <v>180338000</v>
      </c>
      <c r="E27" s="185">
        <v>-55513000</v>
      </c>
      <c r="F27" s="185">
        <v>103565000</v>
      </c>
      <c r="G27" s="185">
        <v>191899000</v>
      </c>
      <c r="H27" s="185">
        <v>621738000</v>
      </c>
    </row>
    <row r="28" spans="1:8" s="4" customFormat="1" x14ac:dyDescent="0.25">
      <c r="A28" s="2"/>
      <c r="B28" s="4" t="s">
        <v>360</v>
      </c>
      <c r="C28" s="185">
        <v>193247000</v>
      </c>
      <c r="D28" s="185">
        <v>91350000</v>
      </c>
      <c r="E28" s="185">
        <v>27356000</v>
      </c>
      <c r="F28" s="185">
        <v>178708000</v>
      </c>
      <c r="G28" s="185">
        <v>77844000</v>
      </c>
      <c r="H28" s="185">
        <v>211627000</v>
      </c>
    </row>
    <row r="29" spans="1:8" s="4" customFormat="1" x14ac:dyDescent="0.25">
      <c r="A29" s="2"/>
      <c r="B29" s="4" t="s">
        <v>68</v>
      </c>
      <c r="C29" s="185">
        <v>-194075000</v>
      </c>
      <c r="D29" s="185">
        <v>-289099000</v>
      </c>
      <c r="E29" s="185">
        <v>-217553000</v>
      </c>
      <c r="F29" s="185">
        <v>-310920000</v>
      </c>
      <c r="G29" s="185">
        <v>-446351000</v>
      </c>
      <c r="H29" s="185">
        <v>-717621000</v>
      </c>
    </row>
    <row r="30" spans="1:8" s="4" customFormat="1" x14ac:dyDescent="0.25">
      <c r="A30" s="2"/>
      <c r="B30" s="4" t="s">
        <v>361</v>
      </c>
      <c r="C30" s="185">
        <v>-11779284000</v>
      </c>
      <c r="D30" s="185">
        <v>-17702202000</v>
      </c>
      <c r="E30" s="185">
        <v>-16839038000</v>
      </c>
      <c r="F30" s="4" t="s">
        <v>49</v>
      </c>
      <c r="G30" s="4" t="s">
        <v>49</v>
      </c>
      <c r="H30" s="4" t="s">
        <v>49</v>
      </c>
    </row>
    <row r="31" spans="1:8" s="4" customFormat="1" x14ac:dyDescent="0.25">
      <c r="A31" s="2"/>
      <c r="B31" s="4" t="s">
        <v>70</v>
      </c>
      <c r="C31" s="185">
        <v>-505354000</v>
      </c>
      <c r="D31" s="185">
        <v>-1339853000</v>
      </c>
      <c r="E31" s="185">
        <v>-2076392000</v>
      </c>
      <c r="F31" s="185">
        <v>541751000</v>
      </c>
      <c r="G31" s="185">
        <v>-2181784000</v>
      </c>
      <c r="H31" s="185">
        <v>1139543000</v>
      </c>
    </row>
    <row r="32" spans="1:8" s="4" customFormat="1" x14ac:dyDescent="0.25">
      <c r="A32" s="2"/>
      <c r="B32" s="4" t="s">
        <v>71</v>
      </c>
      <c r="C32" s="185">
        <v>-505354000</v>
      </c>
      <c r="D32" s="185">
        <v>-1339853000</v>
      </c>
      <c r="E32" s="185">
        <v>-2076392000</v>
      </c>
      <c r="F32" s="185">
        <v>541751000</v>
      </c>
      <c r="G32" s="185">
        <v>-2181784000</v>
      </c>
      <c r="H32" s="185">
        <v>1139543000</v>
      </c>
    </row>
    <row r="33" spans="1:8" s="4" customFormat="1" x14ac:dyDescent="0.25">
      <c r="A33" s="2"/>
      <c r="B33" s="4" t="s">
        <v>72</v>
      </c>
      <c r="C33" s="185">
        <v>-497923000</v>
      </c>
      <c r="D33" s="185">
        <v>-524585000</v>
      </c>
      <c r="E33" s="185">
        <v>-407729000</v>
      </c>
      <c r="F33" s="185">
        <v>-348552000</v>
      </c>
      <c r="G33" s="185">
        <v>-439538000</v>
      </c>
      <c r="H33" s="185">
        <v>-607559000</v>
      </c>
    </row>
    <row r="34" spans="1:8" s="4" customFormat="1" x14ac:dyDescent="0.25">
      <c r="A34" s="2"/>
      <c r="B34" s="4" t="s">
        <v>73</v>
      </c>
      <c r="C34" s="185">
        <v>-497923000</v>
      </c>
      <c r="D34" s="185">
        <v>-524585000</v>
      </c>
      <c r="E34" s="185">
        <v>-407729000</v>
      </c>
      <c r="F34" s="185">
        <v>-348552000</v>
      </c>
      <c r="G34" s="185">
        <v>-439538000</v>
      </c>
      <c r="H34" s="185">
        <v>-607559000</v>
      </c>
    </row>
    <row r="35" spans="1:8" s="4" customFormat="1" x14ac:dyDescent="0.25">
      <c r="A35" s="2"/>
      <c r="B35" s="4" t="s">
        <v>74</v>
      </c>
      <c r="C35" s="4" t="s">
        <v>49</v>
      </c>
      <c r="D35" s="185">
        <v>-788349000</v>
      </c>
      <c r="E35" s="185">
        <v>-757387000</v>
      </c>
      <c r="F35" s="185">
        <v>0</v>
      </c>
      <c r="G35" s="185">
        <v>0</v>
      </c>
      <c r="H35" s="4" t="s">
        <v>49</v>
      </c>
    </row>
    <row r="36" spans="1:8" s="4" customFormat="1" x14ac:dyDescent="0.25">
      <c r="A36" s="2"/>
      <c r="B36" s="4" t="s">
        <v>75</v>
      </c>
      <c r="C36" s="4" t="s">
        <v>49</v>
      </c>
      <c r="D36" s="185">
        <v>-788349000</v>
      </c>
      <c r="E36" s="185">
        <v>-757387000</v>
      </c>
      <c r="F36" s="185">
        <v>0</v>
      </c>
      <c r="G36" s="185">
        <v>0</v>
      </c>
      <c r="H36" s="4" t="s">
        <v>49</v>
      </c>
    </row>
    <row r="37" spans="1:8" s="4" customFormat="1" x14ac:dyDescent="0.25">
      <c r="A37" s="2"/>
      <c r="B37" s="4" t="s">
        <v>80</v>
      </c>
      <c r="C37" s="4" t="s">
        <v>49</v>
      </c>
      <c r="D37" s="4" t="s">
        <v>49</v>
      </c>
      <c r="E37" s="185">
        <v>-911276000</v>
      </c>
      <c r="F37" s="185">
        <v>890303000</v>
      </c>
      <c r="G37" s="185">
        <v>-1742246000</v>
      </c>
      <c r="H37" s="185">
        <v>1747102000</v>
      </c>
    </row>
    <row r="38" spans="1:8" s="4" customFormat="1" x14ac:dyDescent="0.25">
      <c r="A38" s="2"/>
      <c r="B38" s="4" t="s">
        <v>82</v>
      </c>
      <c r="C38" s="4" t="s">
        <v>49</v>
      </c>
      <c r="D38" s="4" t="s">
        <v>49</v>
      </c>
      <c r="E38" s="185">
        <v>-911276000</v>
      </c>
      <c r="F38" s="185">
        <v>-504862000</v>
      </c>
      <c r="G38" s="185">
        <v>-1742246000</v>
      </c>
      <c r="H38" s="185">
        <v>-161515000</v>
      </c>
    </row>
    <row r="39" spans="1:8" s="4" customFormat="1" x14ac:dyDescent="0.25">
      <c r="A39" s="2"/>
      <c r="B39" s="4" t="s">
        <v>81</v>
      </c>
      <c r="C39" s="4" t="s">
        <v>49</v>
      </c>
      <c r="D39" s="4" t="s">
        <v>49</v>
      </c>
      <c r="E39" s="4" t="s">
        <v>49</v>
      </c>
      <c r="F39" s="185">
        <v>1395165000</v>
      </c>
      <c r="G39" s="185">
        <v>0</v>
      </c>
      <c r="H39" s="185">
        <v>1908617000</v>
      </c>
    </row>
    <row r="40" spans="1:8" s="4" customFormat="1" x14ac:dyDescent="0.25">
      <c r="A40" s="2"/>
      <c r="B40" s="4" t="s">
        <v>84</v>
      </c>
      <c r="C40" s="185">
        <v>-7431000</v>
      </c>
      <c r="D40" s="185">
        <v>-26919000</v>
      </c>
      <c r="E40" s="185">
        <v>0</v>
      </c>
      <c r="F40" s="185">
        <v>0</v>
      </c>
      <c r="G40" s="4" t="s">
        <v>49</v>
      </c>
      <c r="H40" s="4" t="s">
        <v>49</v>
      </c>
    </row>
    <row r="41" spans="1:8" s="4" customFormat="1" x14ac:dyDescent="0.25">
      <c r="A41" s="2"/>
      <c r="B41" s="4" t="s">
        <v>362</v>
      </c>
      <c r="C41" s="4" t="s">
        <v>49</v>
      </c>
      <c r="D41" s="4" t="s">
        <v>49</v>
      </c>
      <c r="E41" s="4" t="s">
        <v>49</v>
      </c>
      <c r="F41" s="4" t="s">
        <v>49</v>
      </c>
      <c r="G41" s="4" t="s">
        <v>49</v>
      </c>
      <c r="H41" s="4" t="s">
        <v>49</v>
      </c>
    </row>
    <row r="42" spans="1:8" s="4" customFormat="1" x14ac:dyDescent="0.25">
      <c r="A42" s="2"/>
      <c r="B42" s="4" t="s">
        <v>363</v>
      </c>
      <c r="C42" s="4" t="s">
        <v>49</v>
      </c>
      <c r="D42" s="4" t="s">
        <v>49</v>
      </c>
      <c r="E42" s="4" t="s">
        <v>49</v>
      </c>
      <c r="F42" s="4" t="s">
        <v>49</v>
      </c>
      <c r="G42" s="4" t="s">
        <v>49</v>
      </c>
      <c r="H42" s="4" t="s">
        <v>49</v>
      </c>
    </row>
    <row r="43" spans="1:8" s="4" customFormat="1" x14ac:dyDescent="0.25">
      <c r="A43" s="2"/>
      <c r="B43" s="4" t="s">
        <v>87</v>
      </c>
      <c r="C43" s="185">
        <v>1237311000</v>
      </c>
      <c r="D43" s="185">
        <v>-1149776000</v>
      </c>
      <c r="E43" s="185">
        <v>-664254000</v>
      </c>
      <c r="F43" s="185">
        <v>-5950803000</v>
      </c>
      <c r="G43" s="185">
        <v>-4074427000</v>
      </c>
      <c r="H43" s="185">
        <v>-8946911000</v>
      </c>
    </row>
    <row r="44" spans="1:8" s="4" customFormat="1" x14ac:dyDescent="0.25">
      <c r="A44" s="2"/>
      <c r="B44" s="4" t="s">
        <v>88</v>
      </c>
      <c r="C44" s="185">
        <v>1237311000</v>
      </c>
      <c r="D44" s="185">
        <v>-1149776000</v>
      </c>
      <c r="E44" s="185">
        <v>-664254000</v>
      </c>
      <c r="F44" s="185">
        <v>-5950803000</v>
      </c>
      <c r="G44" s="185">
        <v>-4074427000</v>
      </c>
      <c r="H44" s="185">
        <v>-8946911000</v>
      </c>
    </row>
    <row r="45" spans="1:8" s="4" customFormat="1" x14ac:dyDescent="0.25">
      <c r="A45" s="2"/>
      <c r="B45" s="4" t="s">
        <v>99</v>
      </c>
      <c r="C45" s="185">
        <v>235406000</v>
      </c>
      <c r="D45" s="185">
        <v>-425608000</v>
      </c>
      <c r="E45" s="185">
        <v>35746000</v>
      </c>
      <c r="F45" s="185">
        <v>-5875357000</v>
      </c>
      <c r="G45" s="185">
        <v>-5430859000</v>
      </c>
      <c r="H45" s="185">
        <v>-7118461000</v>
      </c>
    </row>
    <row r="46" spans="1:8" s="4" customFormat="1" x14ac:dyDescent="0.25">
      <c r="A46" s="2"/>
      <c r="B46" s="4" t="s">
        <v>101</v>
      </c>
      <c r="C46" s="185">
        <v>235406000</v>
      </c>
      <c r="D46" s="185">
        <v>174414000</v>
      </c>
      <c r="E46" s="185">
        <v>35746000</v>
      </c>
      <c r="F46" s="185">
        <v>169990000</v>
      </c>
      <c r="G46" s="185">
        <v>832887000</v>
      </c>
      <c r="H46" s="185">
        <v>892895000</v>
      </c>
    </row>
    <row r="47" spans="1:8" s="4" customFormat="1" x14ac:dyDescent="0.25">
      <c r="A47" s="2"/>
      <c r="B47" s="4" t="s">
        <v>100</v>
      </c>
      <c r="C47" s="4" t="s">
        <v>49</v>
      </c>
      <c r="D47" s="185">
        <v>-600022000</v>
      </c>
      <c r="E47" s="185">
        <v>0</v>
      </c>
      <c r="F47" s="185">
        <v>-6045347000</v>
      </c>
      <c r="G47" s="185">
        <v>-6263746000</v>
      </c>
      <c r="H47" s="185">
        <v>-8011356000</v>
      </c>
    </row>
    <row r="48" spans="1:8" s="4" customFormat="1" x14ac:dyDescent="0.25">
      <c r="A48" s="2"/>
      <c r="B48" s="4" t="s">
        <v>89</v>
      </c>
      <c r="C48" s="185">
        <v>1009464000</v>
      </c>
      <c r="D48" s="185">
        <v>-500000000</v>
      </c>
      <c r="E48" s="185">
        <v>-700000000</v>
      </c>
      <c r="F48" s="185">
        <v>0</v>
      </c>
      <c r="G48" s="185">
        <v>1394460000</v>
      </c>
      <c r="H48" s="185">
        <v>-1833450000</v>
      </c>
    </row>
    <row r="49" spans="1:8" s="4" customFormat="1" x14ac:dyDescent="0.25">
      <c r="A49" s="2"/>
      <c r="B49" s="4" t="s">
        <v>93</v>
      </c>
      <c r="C49" s="185">
        <v>1009464000</v>
      </c>
      <c r="D49" s="185">
        <v>-500000000</v>
      </c>
      <c r="E49" s="185">
        <v>-700000000</v>
      </c>
      <c r="F49" s="185">
        <v>0</v>
      </c>
      <c r="G49" s="185">
        <v>1394460000</v>
      </c>
      <c r="H49" s="185">
        <v>-1833450000</v>
      </c>
    </row>
    <row r="50" spans="1:8" s="4" customFormat="1" x14ac:dyDescent="0.25">
      <c r="A50" s="2"/>
      <c r="B50" s="4" t="s">
        <v>94</v>
      </c>
      <c r="C50" s="185">
        <v>1009464000</v>
      </c>
      <c r="D50" s="185">
        <v>0</v>
      </c>
      <c r="E50" s="185">
        <v>0</v>
      </c>
      <c r="F50" s="4" t="s">
        <v>49</v>
      </c>
      <c r="G50" s="185">
        <v>1794460000</v>
      </c>
      <c r="H50" s="185">
        <v>0</v>
      </c>
    </row>
    <row r="51" spans="1:8" s="4" customFormat="1" x14ac:dyDescent="0.25">
      <c r="A51" s="2"/>
      <c r="B51" s="4" t="s">
        <v>95</v>
      </c>
      <c r="C51" s="4" t="s">
        <v>49</v>
      </c>
      <c r="D51" s="185">
        <v>-500000000</v>
      </c>
      <c r="E51" s="185">
        <v>-700000000</v>
      </c>
      <c r="F51" s="185">
        <v>0</v>
      </c>
      <c r="G51" s="185">
        <v>-400000000</v>
      </c>
      <c r="H51" s="185">
        <v>-1833450000</v>
      </c>
    </row>
    <row r="52" spans="1:8" s="4" customFormat="1" x14ac:dyDescent="0.25">
      <c r="A52" s="2"/>
      <c r="B52" s="4" t="s">
        <v>98</v>
      </c>
      <c r="C52" s="185">
        <v>0</v>
      </c>
      <c r="D52" s="185">
        <v>-224168000</v>
      </c>
      <c r="E52" s="185">
        <v>0</v>
      </c>
      <c r="F52" s="185">
        <v>-75446000</v>
      </c>
      <c r="G52" s="185">
        <v>-38028000</v>
      </c>
      <c r="H52" s="185">
        <v>5000000</v>
      </c>
    </row>
    <row r="53" spans="1:8" s="4" customFormat="1" x14ac:dyDescent="0.25">
      <c r="A53" s="2"/>
      <c r="B53" s="4" t="s">
        <v>105</v>
      </c>
      <c r="C53" s="185">
        <v>-7559000</v>
      </c>
      <c r="D53" s="185">
        <v>0</v>
      </c>
      <c r="E53" s="185">
        <v>0</v>
      </c>
      <c r="F53" s="4" t="s">
        <v>49</v>
      </c>
      <c r="G53" s="4" t="s">
        <v>49</v>
      </c>
      <c r="H53" s="4" t="s">
        <v>49</v>
      </c>
    </row>
    <row r="54" spans="1:8" s="4" customFormat="1" x14ac:dyDescent="0.25">
      <c r="A54" s="2"/>
      <c r="B54" s="4" t="s">
        <v>106</v>
      </c>
      <c r="C54" s="185">
        <v>-7559000</v>
      </c>
      <c r="D54" s="185">
        <v>0</v>
      </c>
      <c r="E54" s="185">
        <v>0</v>
      </c>
      <c r="F54" s="4" t="s">
        <v>49</v>
      </c>
      <c r="G54" s="4" t="s">
        <v>49</v>
      </c>
      <c r="H54" s="4" t="s">
        <v>49</v>
      </c>
    </row>
    <row r="55" spans="1:8" s="4" customFormat="1" x14ac:dyDescent="0.25">
      <c r="A55" s="2"/>
      <c r="B55" s="4" t="s">
        <v>364</v>
      </c>
      <c r="C55" s="4" t="s">
        <v>49</v>
      </c>
      <c r="D55" s="4" t="s">
        <v>49</v>
      </c>
      <c r="E55" s="4" t="s">
        <v>49</v>
      </c>
      <c r="F55" s="4" t="s">
        <v>49</v>
      </c>
      <c r="G55" s="4" t="s">
        <v>49</v>
      </c>
      <c r="H55" s="4" t="s">
        <v>49</v>
      </c>
    </row>
    <row r="56" spans="1:8" s="4" customFormat="1" x14ac:dyDescent="0.25">
      <c r="A56" s="2"/>
      <c r="B56" s="4" t="s">
        <v>102</v>
      </c>
      <c r="C56" s="4" t="s">
        <v>49</v>
      </c>
      <c r="D56" s="4" t="s">
        <v>49</v>
      </c>
      <c r="E56" s="4" t="s">
        <v>49</v>
      </c>
      <c r="F56" s="4" t="s">
        <v>49</v>
      </c>
      <c r="G56" s="4" t="s">
        <v>49</v>
      </c>
      <c r="H56" s="4" t="s">
        <v>49</v>
      </c>
    </row>
    <row r="57" spans="1:8" s="4" customFormat="1" x14ac:dyDescent="0.25">
      <c r="A57" s="2"/>
      <c r="B57" s="4" t="s">
        <v>103</v>
      </c>
      <c r="C57" s="4" t="s">
        <v>49</v>
      </c>
      <c r="D57" s="4" t="s">
        <v>49</v>
      </c>
      <c r="E57" s="4" t="s">
        <v>49</v>
      </c>
      <c r="F57" s="4" t="s">
        <v>49</v>
      </c>
      <c r="G57" s="4" t="s">
        <v>49</v>
      </c>
      <c r="H57" s="4" t="s">
        <v>49</v>
      </c>
    </row>
    <row r="58" spans="1:8" s="4" customFormat="1" x14ac:dyDescent="0.25">
      <c r="A58" s="2"/>
      <c r="B58" s="4" t="s">
        <v>107</v>
      </c>
      <c r="C58" s="185">
        <v>8238870000</v>
      </c>
      <c r="D58" s="185">
        <v>6055111000</v>
      </c>
      <c r="E58" s="185">
        <v>5170582000</v>
      </c>
      <c r="F58" s="185">
        <v>7118515000</v>
      </c>
      <c r="G58" s="185">
        <v>7807337000</v>
      </c>
      <c r="H58" s="185">
        <v>9290868000</v>
      </c>
    </row>
    <row r="59" spans="1:8" s="4" customFormat="1" x14ac:dyDescent="0.25">
      <c r="A59" s="2"/>
      <c r="B59" s="4" t="s">
        <v>108</v>
      </c>
      <c r="C59" s="185">
        <v>3159034000</v>
      </c>
      <c r="D59" s="185">
        <v>-2097019000</v>
      </c>
      <c r="E59" s="185">
        <v>-714389000</v>
      </c>
      <c r="F59" s="185">
        <v>1865249000</v>
      </c>
      <c r="G59" s="185">
        <v>1105153000</v>
      </c>
      <c r="H59" s="185">
        <v>1767157000</v>
      </c>
    </row>
    <row r="60" spans="1:8" s="4" customFormat="1" x14ac:dyDescent="0.25">
      <c r="A60" s="2"/>
      <c r="B60" s="4" t="s">
        <v>109</v>
      </c>
      <c r="C60" s="185">
        <v>36050000</v>
      </c>
      <c r="D60" s="185">
        <v>-86740000</v>
      </c>
      <c r="E60" s="185">
        <v>-170140000</v>
      </c>
      <c r="F60" s="185">
        <v>82684000</v>
      </c>
      <c r="G60" s="185">
        <v>-416331000</v>
      </c>
      <c r="H60" s="185">
        <v>64626000</v>
      </c>
    </row>
    <row r="61" spans="1:8" s="4" customFormat="1" x14ac:dyDescent="0.25">
      <c r="A61" s="2"/>
      <c r="B61" s="4" t="s">
        <v>110</v>
      </c>
      <c r="C61" s="185">
        <v>5043786000</v>
      </c>
      <c r="D61" s="185">
        <v>8238870000</v>
      </c>
      <c r="E61" s="185">
        <v>6055111000</v>
      </c>
      <c r="F61" s="185">
        <v>5170582000</v>
      </c>
      <c r="G61" s="185">
        <v>7118515000</v>
      </c>
      <c r="H61" s="185">
        <v>7459085000</v>
      </c>
    </row>
    <row r="62" spans="1:8" s="4" customFormat="1" x14ac:dyDescent="0.25">
      <c r="A62" s="2"/>
      <c r="B62" s="4" t="s">
        <v>111</v>
      </c>
      <c r="C62" s="4" t="s">
        <v>49</v>
      </c>
      <c r="D62" s="4" t="s">
        <v>49</v>
      </c>
      <c r="E62" s="4" t="s">
        <v>49</v>
      </c>
      <c r="F62" s="4" t="s">
        <v>49</v>
      </c>
      <c r="G62" s="4" t="s">
        <v>49</v>
      </c>
      <c r="H62" s="4" t="s">
        <v>49</v>
      </c>
    </row>
    <row r="63" spans="1:8" s="4" customFormat="1" x14ac:dyDescent="0.25">
      <c r="A63" s="2"/>
      <c r="B63" s="4" t="s">
        <v>112</v>
      </c>
      <c r="C63" s="185">
        <v>3195084000</v>
      </c>
      <c r="D63" s="185">
        <v>-2183759000</v>
      </c>
      <c r="E63" s="185">
        <v>-884529000</v>
      </c>
      <c r="F63" s="185">
        <v>1947933000</v>
      </c>
      <c r="G63" s="185">
        <v>688822000</v>
      </c>
      <c r="H63" s="185">
        <v>1831783000</v>
      </c>
    </row>
    <row r="64" spans="1:8" s="4" customFormat="1" x14ac:dyDescent="0.25">
      <c r="A64" s="2"/>
      <c r="B64" s="4" t="s">
        <v>365</v>
      </c>
      <c r="C64" s="185">
        <v>-291582000</v>
      </c>
      <c r="D64" s="185">
        <v>-509265000</v>
      </c>
      <c r="E64" s="185">
        <v>-811720000</v>
      </c>
      <c r="F64" s="185">
        <v>-1154973000</v>
      </c>
      <c r="G64" s="185">
        <v>-1641530000</v>
      </c>
      <c r="H64" s="185">
        <v>-1641530000</v>
      </c>
    </row>
    <row r="65" spans="1:8" s="4" customFormat="1" x14ac:dyDescent="0.25">
      <c r="A65" s="2"/>
      <c r="B65" s="4" t="s">
        <v>366</v>
      </c>
      <c r="C65" s="185">
        <v>-762904000</v>
      </c>
      <c r="D65" s="185">
        <v>-763432000</v>
      </c>
      <c r="E65" s="185">
        <v>-701693000</v>
      </c>
      <c r="F65" s="185">
        <v>-684504000</v>
      </c>
      <c r="G65" s="185">
        <v>-674502000</v>
      </c>
      <c r="H65" s="185">
        <v>-674502000</v>
      </c>
    </row>
    <row r="66" spans="1:8" s="4" customFormat="1" x14ac:dyDescent="0.25">
      <c r="A66" s="2"/>
      <c r="B66" s="4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1DFE-D753-40FD-91AC-957B1E6FB6A2}">
  <dimension ref="A2:O74"/>
  <sheetViews>
    <sheetView showGridLines="0" topLeftCell="A21" workbookViewId="0">
      <selection activeCell="D41" sqref="D41"/>
    </sheetView>
  </sheetViews>
  <sheetFormatPr defaultRowHeight="15" x14ac:dyDescent="0.25"/>
  <cols>
    <col min="1" max="1" width="9.140625" style="2"/>
    <col min="2" max="2" width="70.5703125" style="2" bestFit="1" customWidth="1"/>
    <col min="3" max="4" width="12.5703125" style="2" bestFit="1" customWidth="1"/>
    <col min="5" max="8" width="13.42578125" style="2" bestFit="1" customWidth="1"/>
    <col min="9" max="16384" width="9.140625" style="2"/>
  </cols>
  <sheetData>
    <row r="2" spans="1:15" ht="26.25" x14ac:dyDescent="0.25">
      <c r="B2" s="1" t="s">
        <v>535</v>
      </c>
      <c r="C2" s="1"/>
      <c r="D2" s="1"/>
      <c r="E2" s="1"/>
      <c r="F2" s="1"/>
      <c r="G2" s="1"/>
      <c r="H2" s="1"/>
    </row>
    <row r="3" spans="1:15" s="4" customFormat="1" ht="9.75" customHeight="1" x14ac:dyDescent="0.25">
      <c r="A3" s="2"/>
    </row>
    <row r="4" spans="1:15" s="4" customFormat="1" x14ac:dyDescent="0.25">
      <c r="A4" s="2"/>
      <c r="B4" s="176" t="s">
        <v>114</v>
      </c>
      <c r="C4" s="176" t="s">
        <v>34</v>
      </c>
      <c r="D4" s="176" t="s">
        <v>33</v>
      </c>
      <c r="E4" s="176" t="s">
        <v>32</v>
      </c>
      <c r="F4" s="176" t="s">
        <v>31</v>
      </c>
      <c r="G4" s="176" t="s">
        <v>30</v>
      </c>
      <c r="H4" s="176" t="s">
        <v>29</v>
      </c>
    </row>
    <row r="5" spans="1:15" s="4" customFormat="1" x14ac:dyDescent="0.25">
      <c r="A5" s="2"/>
      <c r="B5" s="4" t="s">
        <v>115</v>
      </c>
      <c r="C5" s="177">
        <v>16674</v>
      </c>
      <c r="D5" s="177">
        <v>16351</v>
      </c>
      <c r="E5" s="177">
        <v>16795</v>
      </c>
      <c r="F5" s="177">
        <v>13375</v>
      </c>
      <c r="G5" s="177">
        <v>7571</v>
      </c>
      <c r="H5" s="177">
        <v>6811</v>
      </c>
      <c r="J5" s="183"/>
      <c r="K5" s="183"/>
      <c r="L5" s="183"/>
      <c r="M5" s="183"/>
      <c r="N5" s="183"/>
      <c r="O5" s="183"/>
    </row>
    <row r="6" spans="1:15" s="4" customFormat="1" x14ac:dyDescent="0.25">
      <c r="A6" s="2"/>
      <c r="B6" s="178" t="s">
        <v>116</v>
      </c>
      <c r="C6" s="179">
        <v>37863</v>
      </c>
      <c r="D6" s="179">
        <v>39321</v>
      </c>
      <c r="E6" s="179">
        <v>41321</v>
      </c>
      <c r="F6" s="179">
        <v>33817</v>
      </c>
      <c r="G6" s="179">
        <v>12191</v>
      </c>
      <c r="H6" s="179">
        <v>10671</v>
      </c>
      <c r="J6" s="183"/>
      <c r="K6" s="183"/>
      <c r="L6" s="183"/>
      <c r="M6" s="183"/>
      <c r="N6" s="183"/>
      <c r="O6" s="183"/>
    </row>
    <row r="7" spans="1:15" s="4" customFormat="1" x14ac:dyDescent="0.25">
      <c r="A7" s="2"/>
      <c r="B7" s="4" t="s">
        <v>117</v>
      </c>
      <c r="C7" s="177">
        <v>36718</v>
      </c>
      <c r="D7" s="177">
        <v>38088</v>
      </c>
      <c r="E7" s="177">
        <v>40140</v>
      </c>
      <c r="F7" s="177">
        <v>33026</v>
      </c>
      <c r="G7" s="177">
        <v>11624</v>
      </c>
      <c r="H7" s="177">
        <v>10449</v>
      </c>
      <c r="J7" s="183"/>
      <c r="K7" s="183"/>
      <c r="L7" s="183"/>
      <c r="M7" s="183"/>
      <c r="N7" s="183"/>
      <c r="O7" s="183"/>
    </row>
    <row r="8" spans="1:15" s="4" customFormat="1" x14ac:dyDescent="0.25">
      <c r="A8" s="2"/>
      <c r="B8" s="4" t="s">
        <v>118</v>
      </c>
      <c r="C8" s="177">
        <v>1145</v>
      </c>
      <c r="D8" s="177">
        <v>1233</v>
      </c>
      <c r="E8" s="177">
        <v>1181</v>
      </c>
      <c r="F8" s="177">
        <v>791</v>
      </c>
      <c r="G8" s="177">
        <v>567</v>
      </c>
      <c r="H8" s="177">
        <v>222</v>
      </c>
      <c r="J8" s="183"/>
      <c r="K8" s="183"/>
      <c r="L8" s="183"/>
      <c r="M8" s="183"/>
      <c r="N8" s="183"/>
      <c r="O8" s="183"/>
    </row>
    <row r="9" spans="1:15" s="4" customFormat="1" x14ac:dyDescent="0.25">
      <c r="A9" s="2"/>
      <c r="B9" s="178" t="s">
        <v>119</v>
      </c>
      <c r="C9" s="179">
        <v>-21189</v>
      </c>
      <c r="D9" s="179">
        <v>-22970</v>
      </c>
      <c r="E9" s="179">
        <v>-24526</v>
      </c>
      <c r="F9" s="179">
        <v>-20442</v>
      </c>
      <c r="G9" s="179">
        <v>-4620</v>
      </c>
      <c r="H9" s="179">
        <v>-3860</v>
      </c>
      <c r="J9" s="183"/>
      <c r="K9" s="183"/>
      <c r="L9" s="183"/>
      <c r="M9" s="183"/>
      <c r="N9" s="183"/>
      <c r="O9" s="183"/>
    </row>
    <row r="10" spans="1:15" s="4" customFormat="1" x14ac:dyDescent="0.25">
      <c r="A10" s="2"/>
      <c r="B10" s="4" t="s">
        <v>120</v>
      </c>
      <c r="C10" s="177">
        <v>-15262</v>
      </c>
      <c r="D10" s="177">
        <v>-16333</v>
      </c>
      <c r="E10" s="177">
        <v>-17681</v>
      </c>
      <c r="F10" s="177">
        <v>-16871</v>
      </c>
      <c r="G10" s="177">
        <v>-5598</v>
      </c>
      <c r="H10" s="177">
        <v>-4081</v>
      </c>
      <c r="J10" s="183"/>
      <c r="K10" s="183"/>
      <c r="L10" s="183"/>
      <c r="M10" s="183"/>
      <c r="N10" s="183"/>
      <c r="O10" s="183"/>
    </row>
    <row r="11" spans="1:15" s="4" customFormat="1" x14ac:dyDescent="0.25">
      <c r="A11" s="2"/>
      <c r="B11" s="178" t="s">
        <v>121</v>
      </c>
      <c r="C11" s="179">
        <v>-9250</v>
      </c>
      <c r="D11" s="179">
        <v>-9296</v>
      </c>
      <c r="E11" s="179">
        <v>-9696</v>
      </c>
      <c r="F11" s="179">
        <v>-9678</v>
      </c>
      <c r="G11" s="179">
        <v>-4016</v>
      </c>
      <c r="H11" s="179">
        <v>-2722</v>
      </c>
      <c r="J11" s="183"/>
      <c r="K11" s="183"/>
      <c r="L11" s="183"/>
      <c r="M11" s="183"/>
      <c r="N11" s="183"/>
      <c r="O11" s="183"/>
    </row>
    <row r="12" spans="1:15" s="4" customFormat="1" x14ac:dyDescent="0.25">
      <c r="A12" s="2"/>
      <c r="B12" s="178" t="s">
        <v>122</v>
      </c>
      <c r="C12" s="179">
        <v>-6012</v>
      </c>
      <c r="D12" s="179">
        <v>-7037</v>
      </c>
      <c r="E12" s="179">
        <v>-7985</v>
      </c>
      <c r="F12" s="179">
        <v>-7193</v>
      </c>
      <c r="G12" s="179">
        <v>-1582</v>
      </c>
      <c r="H12" s="179">
        <v>-1359</v>
      </c>
      <c r="J12" s="183"/>
      <c r="K12" s="183"/>
      <c r="L12" s="183"/>
      <c r="M12" s="183"/>
      <c r="N12" s="183"/>
      <c r="O12" s="183"/>
    </row>
    <row r="13" spans="1:15" s="4" customFormat="1" x14ac:dyDescent="0.25">
      <c r="A13" s="2"/>
      <c r="B13" s="4" t="s">
        <v>123</v>
      </c>
      <c r="C13" s="177">
        <v>-6012</v>
      </c>
      <c r="D13" s="177">
        <v>-7037</v>
      </c>
      <c r="E13" s="177">
        <v>-7985</v>
      </c>
      <c r="F13" s="177">
        <v>-7193</v>
      </c>
      <c r="G13" s="177">
        <v>-1582</v>
      </c>
      <c r="H13" s="177">
        <v>-1359</v>
      </c>
      <c r="J13" s="183"/>
      <c r="K13" s="183"/>
      <c r="L13" s="183"/>
      <c r="M13" s="183"/>
      <c r="N13" s="183"/>
      <c r="O13" s="183"/>
    </row>
    <row r="14" spans="1:15" s="4" customFormat="1" x14ac:dyDescent="0.25">
      <c r="A14" s="2"/>
      <c r="B14" s="178" t="s">
        <v>124</v>
      </c>
      <c r="C14" s="179">
        <v>1412</v>
      </c>
      <c r="D14" s="179">
        <v>18</v>
      </c>
      <c r="E14" s="179">
        <v>-886</v>
      </c>
      <c r="F14" s="179">
        <v>-3496</v>
      </c>
      <c r="G14" s="179">
        <v>1973</v>
      </c>
      <c r="H14" s="179">
        <v>2730</v>
      </c>
      <c r="J14" s="183"/>
      <c r="K14" s="183"/>
      <c r="L14" s="183"/>
      <c r="M14" s="183"/>
      <c r="N14" s="183"/>
      <c r="O14" s="183"/>
    </row>
    <row r="15" spans="1:15" s="4" customFormat="1" x14ac:dyDescent="0.25">
      <c r="A15" s="2"/>
      <c r="B15" s="4" t="s">
        <v>125</v>
      </c>
      <c r="C15" s="177">
        <v>279</v>
      </c>
      <c r="D15" s="177">
        <v>-11406</v>
      </c>
      <c r="E15" s="177">
        <v>-2977</v>
      </c>
      <c r="F15" s="177">
        <v>-5464</v>
      </c>
      <c r="G15" s="177">
        <v>-540</v>
      </c>
      <c r="H15" s="177">
        <v>-1002</v>
      </c>
      <c r="J15" s="183"/>
      <c r="K15" s="183"/>
      <c r="L15" s="183"/>
      <c r="M15" s="183"/>
      <c r="N15" s="183"/>
      <c r="O15" s="183"/>
    </row>
    <row r="16" spans="1:15" s="4" customFormat="1" x14ac:dyDescent="0.25">
      <c r="A16" s="2"/>
      <c r="B16" s="4" t="s">
        <v>126</v>
      </c>
      <c r="C16" s="177">
        <v>-1783</v>
      </c>
      <c r="D16" s="177">
        <v>-1807</v>
      </c>
      <c r="E16" s="177">
        <v>-2042</v>
      </c>
      <c r="F16" s="177">
        <v>-1777</v>
      </c>
      <c r="G16" s="177">
        <v>-615</v>
      </c>
      <c r="H16" s="177">
        <v>-638</v>
      </c>
      <c r="J16" s="183"/>
      <c r="K16" s="183"/>
      <c r="L16" s="183"/>
      <c r="M16" s="183"/>
      <c r="N16" s="183"/>
      <c r="O16" s="183"/>
    </row>
    <row r="17" spans="1:15" s="4" customFormat="1" x14ac:dyDescent="0.25">
      <c r="A17" s="2"/>
      <c r="B17" s="4" t="s">
        <v>127</v>
      </c>
      <c r="C17" s="177">
        <v>-1783</v>
      </c>
      <c r="D17" s="177">
        <v>-1807</v>
      </c>
      <c r="E17" s="177">
        <v>-2042</v>
      </c>
      <c r="F17" s="177">
        <v>-1777</v>
      </c>
      <c r="G17" s="177">
        <v>-615</v>
      </c>
      <c r="H17" s="177">
        <v>-638</v>
      </c>
      <c r="J17" s="183"/>
      <c r="K17" s="183"/>
      <c r="L17" s="183"/>
      <c r="M17" s="183"/>
      <c r="N17" s="183"/>
      <c r="O17" s="183"/>
    </row>
    <row r="18" spans="1:15" s="4" customFormat="1" x14ac:dyDescent="0.25">
      <c r="A18" s="2"/>
      <c r="B18" s="4" t="s">
        <v>128</v>
      </c>
      <c r="C18" s="177">
        <v>-1991</v>
      </c>
      <c r="D18" s="177">
        <v>-2017</v>
      </c>
      <c r="E18" s="177">
        <v>-2221</v>
      </c>
      <c r="F18" s="177">
        <v>-1777</v>
      </c>
      <c r="G18" s="177">
        <v>-633</v>
      </c>
      <c r="H18" s="177">
        <v>-648</v>
      </c>
      <c r="J18" s="183"/>
      <c r="K18" s="183"/>
      <c r="L18" s="183"/>
      <c r="M18" s="183"/>
      <c r="N18" s="183"/>
      <c r="O18" s="183"/>
    </row>
    <row r="19" spans="1:15" s="4" customFormat="1" x14ac:dyDescent="0.25">
      <c r="A19" s="2"/>
      <c r="B19" s="4" t="s">
        <v>129</v>
      </c>
      <c r="C19" s="177">
        <v>208</v>
      </c>
      <c r="D19" s="177">
        <v>210</v>
      </c>
      <c r="E19" s="177">
        <v>179</v>
      </c>
      <c r="F19" s="98" t="s">
        <v>49</v>
      </c>
      <c r="G19" s="177">
        <v>18</v>
      </c>
      <c r="H19" s="177">
        <v>10</v>
      </c>
      <c r="J19" s="183"/>
      <c r="K19" s="183"/>
      <c r="L19" s="183"/>
      <c r="M19" s="183"/>
      <c r="N19" s="183"/>
      <c r="O19" s="183"/>
    </row>
    <row r="20" spans="1:15" s="4" customFormat="1" x14ac:dyDescent="0.25">
      <c r="A20" s="2"/>
      <c r="B20" s="4" t="s">
        <v>130</v>
      </c>
      <c r="C20" s="177">
        <v>-28</v>
      </c>
      <c r="D20" s="177">
        <v>-465</v>
      </c>
      <c r="E20" s="177">
        <v>-263</v>
      </c>
      <c r="F20" s="177">
        <v>-82</v>
      </c>
      <c r="G20" s="177">
        <v>38</v>
      </c>
      <c r="H20" s="177">
        <v>-62</v>
      </c>
      <c r="J20" s="183"/>
      <c r="K20" s="183"/>
      <c r="L20" s="183"/>
      <c r="M20" s="183"/>
      <c r="N20" s="183"/>
      <c r="O20" s="183"/>
    </row>
    <row r="21" spans="1:15" s="4" customFormat="1" x14ac:dyDescent="0.25">
      <c r="A21" s="2"/>
      <c r="B21" s="4" t="s">
        <v>131</v>
      </c>
      <c r="C21" s="177">
        <v>26</v>
      </c>
      <c r="D21" s="177">
        <v>-12</v>
      </c>
      <c r="E21" s="177">
        <v>-36</v>
      </c>
      <c r="F21" s="177">
        <v>-247</v>
      </c>
      <c r="G21" s="177">
        <v>-19</v>
      </c>
      <c r="H21" s="177">
        <v>28</v>
      </c>
      <c r="J21" s="183"/>
      <c r="K21" s="183"/>
      <c r="L21" s="183"/>
      <c r="M21" s="183"/>
      <c r="N21" s="183"/>
      <c r="O21" s="183"/>
    </row>
    <row r="22" spans="1:15" s="4" customFormat="1" x14ac:dyDescent="0.25">
      <c r="A22" s="2"/>
      <c r="B22" s="4" t="s">
        <v>132</v>
      </c>
      <c r="C22" s="177">
        <v>-17</v>
      </c>
      <c r="D22" s="177">
        <v>-121</v>
      </c>
      <c r="E22" s="177">
        <v>-82</v>
      </c>
      <c r="F22" s="177">
        <v>-160</v>
      </c>
      <c r="G22" s="177">
        <v>-18</v>
      </c>
      <c r="H22" s="177">
        <v>-105</v>
      </c>
      <c r="J22" s="183"/>
      <c r="K22" s="183"/>
      <c r="L22" s="183"/>
      <c r="M22" s="183"/>
      <c r="N22" s="183"/>
      <c r="O22" s="183"/>
    </row>
    <row r="23" spans="1:15" s="4" customFormat="1" x14ac:dyDescent="0.25">
      <c r="A23" s="2"/>
      <c r="B23" s="4" t="s">
        <v>133</v>
      </c>
      <c r="C23" s="98" t="s">
        <v>49</v>
      </c>
      <c r="D23" s="98" t="s">
        <v>49</v>
      </c>
      <c r="E23" s="177">
        <v>-82</v>
      </c>
      <c r="F23" s="177">
        <v>-160</v>
      </c>
      <c r="G23" s="98" t="s">
        <v>49</v>
      </c>
      <c r="H23" s="98" t="s">
        <v>49</v>
      </c>
      <c r="J23" s="183"/>
      <c r="K23" s="183"/>
      <c r="L23" s="183"/>
      <c r="M23" s="183"/>
      <c r="N23" s="183"/>
      <c r="O23" s="183"/>
    </row>
    <row r="24" spans="1:15" s="4" customFormat="1" x14ac:dyDescent="0.25">
      <c r="A24" s="2"/>
      <c r="B24" s="4" t="s">
        <v>134</v>
      </c>
      <c r="C24" s="98" t="s">
        <v>49</v>
      </c>
      <c r="D24" s="98" t="s">
        <v>49</v>
      </c>
      <c r="E24" s="98" t="s">
        <v>49</v>
      </c>
      <c r="F24" s="98" t="s">
        <v>49</v>
      </c>
      <c r="G24" s="177">
        <v>-18</v>
      </c>
      <c r="H24" s="177">
        <v>-105</v>
      </c>
      <c r="J24" s="183"/>
      <c r="K24" s="183"/>
      <c r="L24" s="183"/>
      <c r="M24" s="183"/>
      <c r="N24" s="183"/>
      <c r="O24" s="183"/>
    </row>
    <row r="25" spans="1:15" s="4" customFormat="1" x14ac:dyDescent="0.25">
      <c r="A25" s="2"/>
      <c r="B25" s="4" t="s">
        <v>135</v>
      </c>
      <c r="C25" s="177">
        <v>-95</v>
      </c>
      <c r="D25" s="177">
        <v>-323</v>
      </c>
      <c r="E25" s="177">
        <v>-173</v>
      </c>
      <c r="F25" s="177">
        <v>-150</v>
      </c>
      <c r="G25" s="177">
        <v>93</v>
      </c>
      <c r="H25" s="177">
        <v>-115</v>
      </c>
      <c r="J25" s="183"/>
      <c r="K25" s="183"/>
      <c r="L25" s="183"/>
      <c r="M25" s="183"/>
      <c r="N25" s="183"/>
      <c r="O25" s="183"/>
    </row>
    <row r="26" spans="1:15" s="4" customFormat="1" x14ac:dyDescent="0.25">
      <c r="A26" s="2"/>
      <c r="B26" s="4" t="s">
        <v>136</v>
      </c>
      <c r="C26" s="177">
        <v>58</v>
      </c>
      <c r="D26" s="177">
        <v>-9</v>
      </c>
      <c r="E26" s="177">
        <v>28</v>
      </c>
      <c r="F26" s="177">
        <v>475</v>
      </c>
      <c r="G26" s="177">
        <v>-33</v>
      </c>
      <c r="H26" s="177">
        <v>29</v>
      </c>
      <c r="J26" s="183"/>
      <c r="K26" s="183"/>
      <c r="L26" s="183"/>
      <c r="M26" s="183"/>
      <c r="N26" s="183"/>
      <c r="O26" s="183"/>
    </row>
    <row r="27" spans="1:15" s="4" customFormat="1" x14ac:dyDescent="0.25">
      <c r="A27" s="2"/>
      <c r="B27" s="4" t="s">
        <v>137</v>
      </c>
      <c r="C27" s="98" t="s">
        <v>49</v>
      </c>
      <c r="D27" s="98" t="s">
        <v>49</v>
      </c>
      <c r="E27" s="177">
        <v>0</v>
      </c>
      <c r="F27" s="177">
        <v>0</v>
      </c>
      <c r="G27" s="177">
        <v>15</v>
      </c>
      <c r="H27" s="177">
        <v>101</v>
      </c>
      <c r="J27" s="183"/>
      <c r="K27" s="183"/>
      <c r="L27" s="183"/>
      <c r="M27" s="183"/>
      <c r="N27" s="183"/>
      <c r="O27" s="183"/>
    </row>
    <row r="28" spans="1:15" s="4" customFormat="1" x14ac:dyDescent="0.25">
      <c r="A28" s="2"/>
      <c r="B28" s="4" t="s">
        <v>138</v>
      </c>
      <c r="C28" s="177">
        <v>2057</v>
      </c>
      <c r="D28" s="177">
        <v>-9147</v>
      </c>
      <c r="E28" s="177">
        <v>-645</v>
      </c>
      <c r="F28" s="177">
        <v>-3679</v>
      </c>
      <c r="G28" s="177">
        <v>29</v>
      </c>
      <c r="H28" s="177">
        <v>-300</v>
      </c>
      <c r="J28" s="183"/>
      <c r="K28" s="183"/>
      <c r="L28" s="183"/>
      <c r="M28" s="183"/>
      <c r="N28" s="183"/>
      <c r="O28" s="183"/>
    </row>
    <row r="29" spans="1:15" s="4" customFormat="1" x14ac:dyDescent="0.25">
      <c r="A29" s="2"/>
      <c r="B29" s="4" t="s">
        <v>139</v>
      </c>
      <c r="C29" s="177">
        <v>-9</v>
      </c>
      <c r="D29" s="177">
        <v>194</v>
      </c>
      <c r="E29" s="177">
        <v>0</v>
      </c>
      <c r="F29" s="177">
        <v>195</v>
      </c>
      <c r="G29" s="177">
        <v>71</v>
      </c>
      <c r="H29" s="177">
        <v>2</v>
      </c>
      <c r="J29" s="183"/>
      <c r="K29" s="183"/>
      <c r="L29" s="183"/>
      <c r="M29" s="183"/>
      <c r="N29" s="183"/>
      <c r="O29" s="183"/>
    </row>
    <row r="30" spans="1:15" s="4" customFormat="1" x14ac:dyDescent="0.25">
      <c r="A30" s="2"/>
      <c r="B30" s="4" t="s">
        <v>140</v>
      </c>
      <c r="C30" s="177">
        <v>-353</v>
      </c>
      <c r="D30" s="177">
        <v>-9603</v>
      </c>
      <c r="E30" s="177">
        <v>-77</v>
      </c>
      <c r="F30" s="177">
        <v>-117</v>
      </c>
      <c r="G30" s="98" t="s">
        <v>49</v>
      </c>
      <c r="H30" s="98" t="s">
        <v>49</v>
      </c>
      <c r="J30" s="183"/>
      <c r="K30" s="183"/>
      <c r="L30" s="183"/>
      <c r="M30" s="183"/>
      <c r="N30" s="183"/>
      <c r="O30" s="183"/>
    </row>
    <row r="31" spans="1:15" s="4" customFormat="1" x14ac:dyDescent="0.25">
      <c r="A31" s="2"/>
      <c r="B31" s="4" t="s">
        <v>141</v>
      </c>
      <c r="C31" s="179">
        <v>2995</v>
      </c>
      <c r="D31" s="177">
        <v>632</v>
      </c>
      <c r="E31" s="98" t="s">
        <v>49</v>
      </c>
      <c r="F31" s="98" t="s">
        <v>49</v>
      </c>
      <c r="G31" s="177">
        <v>-10</v>
      </c>
      <c r="H31" s="177">
        <v>-76</v>
      </c>
      <c r="J31" s="183"/>
      <c r="K31" s="183"/>
      <c r="L31" s="183"/>
      <c r="M31" s="183"/>
      <c r="N31" s="183"/>
      <c r="O31" s="183"/>
    </row>
    <row r="32" spans="1:15" s="4" customFormat="1" x14ac:dyDescent="0.25">
      <c r="A32" s="2"/>
      <c r="B32" s="4" t="s">
        <v>142</v>
      </c>
      <c r="C32" s="177">
        <v>-508</v>
      </c>
      <c r="D32" s="177">
        <v>-447</v>
      </c>
      <c r="E32" s="177">
        <v>-585</v>
      </c>
      <c r="F32" s="177">
        <v>-3757</v>
      </c>
      <c r="G32" s="177">
        <v>-32</v>
      </c>
      <c r="H32" s="177">
        <v>-91</v>
      </c>
      <c r="J32" s="183"/>
      <c r="K32" s="183"/>
      <c r="L32" s="183"/>
      <c r="M32" s="183"/>
      <c r="N32" s="183"/>
      <c r="O32" s="183"/>
    </row>
    <row r="33" spans="1:15" s="4" customFormat="1" x14ac:dyDescent="0.25">
      <c r="A33" s="2"/>
      <c r="B33" s="4" t="s">
        <v>143</v>
      </c>
      <c r="C33" s="177">
        <v>-68</v>
      </c>
      <c r="D33" s="177">
        <v>77</v>
      </c>
      <c r="E33" s="98" t="s">
        <v>49</v>
      </c>
      <c r="F33" s="98" t="s">
        <v>49</v>
      </c>
      <c r="G33" s="98" t="s">
        <v>49</v>
      </c>
      <c r="H33" s="98" t="s">
        <v>49</v>
      </c>
      <c r="J33" s="183"/>
      <c r="K33" s="183"/>
      <c r="L33" s="183"/>
      <c r="M33" s="183"/>
      <c r="N33" s="183"/>
      <c r="O33" s="183"/>
    </row>
    <row r="34" spans="1:15" s="4" customFormat="1" x14ac:dyDescent="0.25">
      <c r="A34" s="2"/>
      <c r="B34" s="4" t="s">
        <v>144</v>
      </c>
      <c r="C34" s="98" t="s">
        <v>49</v>
      </c>
      <c r="D34" s="98" t="s">
        <v>49</v>
      </c>
      <c r="E34" s="177">
        <v>17</v>
      </c>
      <c r="F34" s="177">
        <v>0</v>
      </c>
      <c r="G34" s="177">
        <v>0</v>
      </c>
      <c r="H34" s="177">
        <v>-11</v>
      </c>
      <c r="J34" s="183"/>
      <c r="K34" s="183"/>
      <c r="L34" s="183"/>
      <c r="M34" s="183"/>
      <c r="N34" s="183"/>
      <c r="O34" s="183"/>
    </row>
    <row r="35" spans="1:15" s="4" customFormat="1" x14ac:dyDescent="0.25">
      <c r="A35" s="2"/>
      <c r="B35" s="4" t="s">
        <v>145</v>
      </c>
      <c r="C35" s="98" t="s">
        <v>49</v>
      </c>
      <c r="D35" s="98" t="s">
        <v>49</v>
      </c>
      <c r="E35" s="98" t="s">
        <v>49</v>
      </c>
      <c r="F35" s="98" t="s">
        <v>49</v>
      </c>
      <c r="G35" s="177">
        <v>0</v>
      </c>
      <c r="H35" s="177">
        <v>-124</v>
      </c>
      <c r="J35" s="183"/>
      <c r="K35" s="183"/>
      <c r="L35" s="183"/>
      <c r="M35" s="183"/>
      <c r="N35" s="183"/>
      <c r="O35" s="183"/>
    </row>
    <row r="36" spans="1:15" s="4" customFormat="1" x14ac:dyDescent="0.25">
      <c r="A36" s="2"/>
      <c r="B36" s="4" t="s">
        <v>146</v>
      </c>
      <c r="C36" s="98" t="s">
        <v>49</v>
      </c>
      <c r="D36" s="98" t="s">
        <v>49</v>
      </c>
      <c r="E36" s="98" t="s">
        <v>49</v>
      </c>
      <c r="F36" s="98" t="s">
        <v>49</v>
      </c>
      <c r="G36" s="98" t="s">
        <v>49</v>
      </c>
      <c r="H36" s="98" t="s">
        <v>49</v>
      </c>
      <c r="J36" s="183"/>
      <c r="K36" s="183"/>
      <c r="L36" s="183"/>
      <c r="M36" s="183"/>
      <c r="N36" s="183"/>
      <c r="O36" s="183"/>
    </row>
    <row r="37" spans="1:15" s="4" customFormat="1" x14ac:dyDescent="0.25">
      <c r="A37" s="2"/>
      <c r="B37" s="4" t="s">
        <v>147</v>
      </c>
      <c r="C37" s="177">
        <v>33</v>
      </c>
      <c r="D37" s="177">
        <v>13</v>
      </c>
      <c r="E37" s="177">
        <v>-27</v>
      </c>
      <c r="F37" s="177">
        <v>74</v>
      </c>
      <c r="G37" s="177">
        <v>8</v>
      </c>
      <c r="H37" s="177">
        <v>-2</v>
      </c>
      <c r="J37" s="183"/>
      <c r="K37" s="183"/>
      <c r="L37" s="183"/>
      <c r="M37" s="183"/>
      <c r="N37" s="183"/>
      <c r="O37" s="183"/>
    </row>
    <row r="38" spans="1:15" s="4" customFormat="1" x14ac:dyDescent="0.25">
      <c r="A38" s="2"/>
      <c r="B38" s="178" t="s">
        <v>148</v>
      </c>
      <c r="C38" s="179">
        <v>1691</v>
      </c>
      <c r="D38" s="179">
        <v>-11388</v>
      </c>
      <c r="E38" s="179">
        <v>-3863</v>
      </c>
      <c r="F38" s="179">
        <v>-8960</v>
      </c>
      <c r="G38" s="179">
        <v>1433</v>
      </c>
      <c r="H38" s="179">
        <v>1728</v>
      </c>
      <c r="J38" s="183"/>
      <c r="K38" s="183"/>
      <c r="L38" s="183"/>
      <c r="M38" s="183"/>
      <c r="N38" s="183"/>
      <c r="O38" s="183"/>
    </row>
    <row r="39" spans="1:15" s="4" customFormat="1" x14ac:dyDescent="0.25">
      <c r="A39" s="2"/>
      <c r="B39" s="4" t="s">
        <v>149</v>
      </c>
      <c r="C39" s="177">
        <v>-1335</v>
      </c>
      <c r="D39" s="177">
        <v>-94</v>
      </c>
      <c r="E39" s="177">
        <v>784</v>
      </c>
      <c r="F39" s="177">
        <v>1663</v>
      </c>
      <c r="G39" s="177">
        <v>-236</v>
      </c>
      <c r="H39" s="177">
        <v>-373</v>
      </c>
      <c r="J39" s="183"/>
      <c r="K39" s="183"/>
      <c r="L39" s="183"/>
      <c r="M39" s="183"/>
      <c r="N39" s="183"/>
      <c r="O39" s="183"/>
    </row>
    <row r="40" spans="1:15" s="4" customFormat="1" x14ac:dyDescent="0.25">
      <c r="A40" s="2"/>
      <c r="B40" s="4" t="s">
        <v>150</v>
      </c>
      <c r="C40" s="177">
        <v>356</v>
      </c>
      <c r="D40" s="177">
        <v>-11482</v>
      </c>
      <c r="E40" s="177">
        <v>-3079</v>
      </c>
      <c r="F40" s="177">
        <v>-7297</v>
      </c>
      <c r="G40" s="177">
        <v>1197</v>
      </c>
      <c r="H40" s="177">
        <v>1355</v>
      </c>
      <c r="J40" s="183"/>
      <c r="K40" s="183"/>
      <c r="L40" s="183"/>
      <c r="M40" s="183"/>
      <c r="N40" s="183"/>
      <c r="O40" s="183"/>
    </row>
    <row r="41" spans="1:15" s="4" customFormat="1" x14ac:dyDescent="0.25">
      <c r="A41" s="2"/>
      <c r="B41" s="4" t="s">
        <v>151</v>
      </c>
      <c r="C41" s="177">
        <v>356</v>
      </c>
      <c r="D41" s="177">
        <v>-11482</v>
      </c>
      <c r="E41" s="177">
        <v>-3079</v>
      </c>
      <c r="F41" s="177">
        <v>-7297</v>
      </c>
      <c r="G41" s="177">
        <v>1197</v>
      </c>
      <c r="H41" s="177">
        <v>1355</v>
      </c>
      <c r="J41" s="183"/>
      <c r="K41" s="183"/>
      <c r="L41" s="183"/>
      <c r="M41" s="183"/>
      <c r="N41" s="183"/>
      <c r="O41" s="183"/>
    </row>
    <row r="42" spans="1:15" s="4" customFormat="1" x14ac:dyDescent="0.25">
      <c r="A42" s="2"/>
      <c r="B42" s="4" t="s">
        <v>152</v>
      </c>
      <c r="C42" s="177">
        <v>129</v>
      </c>
      <c r="D42" s="177">
        <v>171</v>
      </c>
      <c r="E42" s="177">
        <v>-47</v>
      </c>
      <c r="F42" s="177">
        <v>-74</v>
      </c>
      <c r="G42" s="177">
        <v>-191</v>
      </c>
      <c r="H42" s="177">
        <v>-136</v>
      </c>
      <c r="J42" s="183"/>
      <c r="K42" s="183"/>
      <c r="L42" s="183"/>
      <c r="M42" s="183"/>
      <c r="N42" s="183"/>
      <c r="O42" s="183"/>
    </row>
    <row r="43" spans="1:15" s="4" customFormat="1" x14ac:dyDescent="0.25">
      <c r="A43" s="2"/>
      <c r="B43" s="4" t="s">
        <v>153</v>
      </c>
      <c r="C43" s="177">
        <v>485</v>
      </c>
      <c r="D43" s="177">
        <v>-11311</v>
      </c>
      <c r="E43" s="177">
        <v>-3126</v>
      </c>
      <c r="F43" s="177">
        <v>-7371</v>
      </c>
      <c r="G43" s="177">
        <v>1006</v>
      </c>
      <c r="H43" s="177">
        <v>1219</v>
      </c>
      <c r="J43" s="183"/>
      <c r="K43" s="183"/>
      <c r="L43" s="183"/>
      <c r="M43" s="183"/>
      <c r="N43" s="183"/>
      <c r="O43" s="183"/>
    </row>
    <row r="44" spans="1:15" s="4" customFormat="1" x14ac:dyDescent="0.25">
      <c r="A44" s="2"/>
      <c r="B44" s="4" t="s">
        <v>154</v>
      </c>
      <c r="C44" s="177">
        <v>0</v>
      </c>
      <c r="D44" s="177">
        <v>0</v>
      </c>
      <c r="E44" s="177">
        <v>0</v>
      </c>
      <c r="F44" s="177">
        <v>-49</v>
      </c>
      <c r="G44" s="98" t="s">
        <v>49</v>
      </c>
      <c r="H44" s="98" t="s">
        <v>49</v>
      </c>
      <c r="J44" s="183"/>
      <c r="K44" s="183"/>
      <c r="L44" s="183"/>
      <c r="M44" s="183"/>
      <c r="N44" s="183"/>
      <c r="O44" s="183"/>
    </row>
    <row r="45" spans="1:15" s="4" customFormat="1" x14ac:dyDescent="0.25">
      <c r="A45" s="2"/>
      <c r="B45" s="4" t="s">
        <v>155</v>
      </c>
      <c r="C45" s="177">
        <v>0</v>
      </c>
      <c r="D45" s="177">
        <v>0</v>
      </c>
      <c r="E45" s="177">
        <v>0</v>
      </c>
      <c r="F45" s="177">
        <v>-49</v>
      </c>
      <c r="G45" s="98" t="s">
        <v>49</v>
      </c>
      <c r="H45" s="98" t="s">
        <v>49</v>
      </c>
      <c r="J45" s="183"/>
      <c r="K45" s="183"/>
      <c r="L45" s="183"/>
      <c r="M45" s="183"/>
      <c r="N45" s="183"/>
      <c r="O45" s="183"/>
    </row>
    <row r="46" spans="1:15" s="4" customFormat="1" x14ac:dyDescent="0.25">
      <c r="A46" s="2"/>
      <c r="B46" s="4" t="s">
        <v>156</v>
      </c>
      <c r="C46" s="98" t="s">
        <v>49</v>
      </c>
      <c r="D46" s="98" t="s">
        <v>49</v>
      </c>
      <c r="E46" s="98" t="s">
        <v>49</v>
      </c>
      <c r="F46" s="98" t="s">
        <v>49</v>
      </c>
      <c r="G46" s="98" t="s">
        <v>49</v>
      </c>
      <c r="H46" s="98" t="s">
        <v>49</v>
      </c>
      <c r="J46" s="183"/>
      <c r="K46" s="183"/>
      <c r="L46" s="183"/>
      <c r="M46" s="183"/>
      <c r="N46" s="183"/>
      <c r="O46" s="183"/>
    </row>
    <row r="47" spans="1:15" s="4" customFormat="1" x14ac:dyDescent="0.25">
      <c r="A47" s="2"/>
      <c r="B47" s="4" t="s">
        <v>157</v>
      </c>
      <c r="C47" s="177">
        <v>-3</v>
      </c>
      <c r="D47" s="177">
        <v>-3</v>
      </c>
      <c r="E47" s="177">
        <v>0</v>
      </c>
      <c r="F47" s="177">
        <v>0</v>
      </c>
      <c r="G47" s="98" t="s">
        <v>49</v>
      </c>
      <c r="H47" s="98" t="s">
        <v>49</v>
      </c>
      <c r="J47" s="183"/>
      <c r="K47" s="183"/>
      <c r="L47" s="183"/>
      <c r="M47" s="183"/>
      <c r="N47" s="183"/>
      <c r="O47" s="183"/>
    </row>
    <row r="48" spans="1:15" s="4" customFormat="1" x14ac:dyDescent="0.25">
      <c r="A48" s="2"/>
      <c r="B48" s="4" t="s">
        <v>158</v>
      </c>
      <c r="C48" s="177">
        <v>482</v>
      </c>
      <c r="D48" s="177">
        <v>-11314</v>
      </c>
      <c r="E48" s="177">
        <v>-3126</v>
      </c>
      <c r="F48" s="177">
        <v>-7420</v>
      </c>
      <c r="G48" s="177">
        <v>1006</v>
      </c>
      <c r="H48" s="177">
        <v>1219</v>
      </c>
      <c r="J48" s="183"/>
      <c r="K48" s="183"/>
      <c r="L48" s="183"/>
      <c r="M48" s="183"/>
      <c r="N48" s="183"/>
      <c r="O48" s="183"/>
    </row>
    <row r="49" spans="1:15" s="4" customFormat="1" x14ac:dyDescent="0.25">
      <c r="A49" s="2"/>
      <c r="B49" s="4" t="s">
        <v>159</v>
      </c>
      <c r="C49" s="177">
        <v>482</v>
      </c>
      <c r="D49" s="177">
        <v>-11314</v>
      </c>
      <c r="E49" s="177">
        <v>-3126</v>
      </c>
      <c r="F49" s="177">
        <v>-7420</v>
      </c>
      <c r="G49" s="177">
        <v>1006</v>
      </c>
      <c r="H49" s="177">
        <v>1219</v>
      </c>
      <c r="J49" s="183"/>
      <c r="K49" s="183"/>
      <c r="L49" s="183"/>
      <c r="M49" s="183"/>
      <c r="N49" s="183"/>
      <c r="O49" s="183"/>
    </row>
    <row r="50" spans="1:15" s="4" customFormat="1" x14ac:dyDescent="0.25">
      <c r="A50" s="2"/>
      <c r="B50" s="4" t="s">
        <v>160</v>
      </c>
      <c r="C50" s="98" t="s">
        <v>49</v>
      </c>
      <c r="D50" s="98" t="s">
        <v>49</v>
      </c>
      <c r="E50" s="98" t="s">
        <v>49</v>
      </c>
      <c r="F50" s="98" t="s">
        <v>49</v>
      </c>
      <c r="G50" s="98" t="s">
        <v>49</v>
      </c>
      <c r="H50" s="98" t="s">
        <v>49</v>
      </c>
      <c r="J50" s="183"/>
      <c r="K50" s="183"/>
      <c r="L50" s="183"/>
      <c r="M50" s="183"/>
      <c r="N50" s="183"/>
      <c r="O50" s="183"/>
    </row>
    <row r="51" spans="1:15" s="4" customFormat="1" x14ac:dyDescent="0.25">
      <c r="A51" s="2"/>
      <c r="B51" s="4" t="s">
        <v>161</v>
      </c>
      <c r="C51" s="98" t="s">
        <v>49</v>
      </c>
      <c r="D51" s="98" t="s">
        <v>49</v>
      </c>
      <c r="E51" s="98" t="s">
        <v>49</v>
      </c>
      <c r="F51" s="98" t="s">
        <v>49</v>
      </c>
      <c r="G51" s="98" t="s">
        <v>49</v>
      </c>
      <c r="H51" s="98" t="s">
        <v>49</v>
      </c>
      <c r="J51" s="183"/>
      <c r="K51" s="183"/>
      <c r="L51" s="183"/>
      <c r="M51" s="183"/>
      <c r="N51" s="183"/>
      <c r="O51" s="183"/>
    </row>
    <row r="52" spans="1:15" s="4" customFormat="1" x14ac:dyDescent="0.25">
      <c r="A52" s="2"/>
      <c r="B52" s="4" t="s">
        <v>162</v>
      </c>
      <c r="C52" s="177">
        <v>37863</v>
      </c>
      <c r="D52" s="177">
        <v>39321</v>
      </c>
      <c r="E52" s="177">
        <v>41321</v>
      </c>
      <c r="F52" s="177">
        <v>33817</v>
      </c>
      <c r="G52" s="177">
        <v>12191</v>
      </c>
      <c r="H52" s="177">
        <v>10671</v>
      </c>
      <c r="J52" s="183"/>
      <c r="K52" s="183"/>
      <c r="L52" s="183"/>
      <c r="M52" s="183"/>
      <c r="N52" s="183"/>
      <c r="O52" s="183"/>
    </row>
    <row r="53" spans="1:15" s="4" customFormat="1" x14ac:dyDescent="0.25">
      <c r="A53" s="2"/>
      <c r="B53" s="4" t="s">
        <v>163</v>
      </c>
      <c r="C53" s="177">
        <v>551</v>
      </c>
      <c r="D53" s="177">
        <v>-10032</v>
      </c>
      <c r="E53" s="177">
        <v>-1548</v>
      </c>
      <c r="F53" s="177">
        <v>-7370</v>
      </c>
      <c r="G53" s="177">
        <v>2012</v>
      </c>
      <c r="H53" s="177">
        <v>2515</v>
      </c>
      <c r="J53" s="183"/>
      <c r="K53" s="183"/>
      <c r="L53" s="183"/>
      <c r="M53" s="183"/>
      <c r="N53" s="183"/>
      <c r="O53" s="183"/>
    </row>
    <row r="54" spans="1:15" s="4" customFormat="1" x14ac:dyDescent="0.25">
      <c r="A54" s="2"/>
      <c r="B54" s="4" t="s">
        <v>164</v>
      </c>
      <c r="C54" s="98" t="s">
        <v>49</v>
      </c>
      <c r="D54" s="177">
        <v>-0.01</v>
      </c>
      <c r="E54" s="177">
        <v>0.2</v>
      </c>
      <c r="F54" s="177">
        <v>0.19</v>
      </c>
      <c r="G54" s="177">
        <v>0.16</v>
      </c>
      <c r="H54" s="177">
        <v>0.22</v>
      </c>
      <c r="J54" s="183"/>
      <c r="K54" s="183"/>
      <c r="L54" s="183"/>
      <c r="M54" s="183"/>
      <c r="N54" s="183"/>
      <c r="O54" s="183"/>
    </row>
    <row r="55" spans="1:15" s="4" customFormat="1" x14ac:dyDescent="0.25">
      <c r="A55" s="2"/>
      <c r="B55" s="4" t="s">
        <v>165</v>
      </c>
      <c r="C55" s="177">
        <v>10523</v>
      </c>
      <c r="D55" s="177">
        <v>10478</v>
      </c>
      <c r="E55" s="177">
        <v>10200</v>
      </c>
      <c r="F55" s="177">
        <v>7718</v>
      </c>
      <c r="G55" s="177">
        <v>7034</v>
      </c>
      <c r="H55" s="98" t="s">
        <v>49</v>
      </c>
      <c r="J55" s="183"/>
      <c r="K55" s="183"/>
      <c r="L55" s="183"/>
      <c r="M55" s="183"/>
      <c r="N55" s="183"/>
      <c r="O55" s="183"/>
    </row>
    <row r="56" spans="1:15" s="4" customFormat="1" x14ac:dyDescent="0.25">
      <c r="A56" s="2"/>
      <c r="B56" s="4" t="s">
        <v>166</v>
      </c>
      <c r="C56" s="98" t="s">
        <v>49</v>
      </c>
      <c r="D56" s="98" t="s">
        <v>49</v>
      </c>
      <c r="E56" s="98" t="s">
        <v>49</v>
      </c>
      <c r="F56" s="98" t="s">
        <v>49</v>
      </c>
      <c r="G56" s="98" t="s">
        <v>49</v>
      </c>
      <c r="H56" s="98" t="s">
        <v>49</v>
      </c>
      <c r="J56" s="183"/>
      <c r="K56" s="183"/>
      <c r="L56" s="183"/>
      <c r="M56" s="183"/>
      <c r="N56" s="183"/>
      <c r="O56" s="183"/>
    </row>
    <row r="57" spans="1:15" s="4" customFormat="1" x14ac:dyDescent="0.25">
      <c r="A57" s="2"/>
      <c r="B57" s="4" t="s">
        <v>167</v>
      </c>
      <c r="C57" s="98" t="s">
        <v>49</v>
      </c>
      <c r="D57" s="98" t="s">
        <v>49</v>
      </c>
      <c r="E57" s="98" t="s">
        <v>49</v>
      </c>
      <c r="F57" s="98" t="s">
        <v>49</v>
      </c>
      <c r="G57" s="98" t="s">
        <v>49</v>
      </c>
      <c r="H57" s="98" t="s">
        <v>49</v>
      </c>
      <c r="J57" s="183"/>
      <c r="K57" s="183"/>
      <c r="L57" s="183"/>
      <c r="M57" s="183"/>
      <c r="N57" s="183"/>
      <c r="O57" s="183"/>
    </row>
    <row r="58" spans="1:15" s="4" customFormat="1" x14ac:dyDescent="0.25">
      <c r="A58" s="2"/>
      <c r="B58" s="4" t="s">
        <v>168</v>
      </c>
      <c r="C58" s="98" t="s">
        <v>49</v>
      </c>
      <c r="D58" s="98" t="s">
        <v>49</v>
      </c>
      <c r="E58" s="98" t="s">
        <v>49</v>
      </c>
      <c r="F58" s="98" t="s">
        <v>49</v>
      </c>
      <c r="G58" s="177">
        <v>-1611</v>
      </c>
      <c r="H58" s="177">
        <v>-1367</v>
      </c>
      <c r="J58" s="183"/>
      <c r="K58" s="183"/>
      <c r="L58" s="183"/>
      <c r="M58" s="183"/>
      <c r="N58" s="183"/>
      <c r="O58" s="183"/>
    </row>
    <row r="59" spans="1:15" s="4" customFormat="1" x14ac:dyDescent="0.25">
      <c r="A59" s="2"/>
      <c r="B59" s="4" t="s">
        <v>169</v>
      </c>
      <c r="C59" s="98" t="s">
        <v>49</v>
      </c>
      <c r="D59" s="98" t="s">
        <v>49</v>
      </c>
      <c r="E59" s="98" t="s">
        <v>49</v>
      </c>
      <c r="F59" s="98" t="s">
        <v>49</v>
      </c>
      <c r="G59" s="177">
        <v>-1611</v>
      </c>
      <c r="H59" s="177">
        <v>-1367</v>
      </c>
      <c r="J59" s="183"/>
      <c r="K59" s="183"/>
      <c r="L59" s="183"/>
      <c r="M59" s="183"/>
      <c r="N59" s="183"/>
      <c r="O59" s="183"/>
    </row>
    <row r="60" spans="1:15" s="4" customFormat="1" x14ac:dyDescent="0.25">
      <c r="A60" s="2"/>
      <c r="B60" s="4" t="s">
        <v>170</v>
      </c>
      <c r="C60" s="98" t="s">
        <v>49</v>
      </c>
      <c r="D60" s="98" t="s">
        <v>49</v>
      </c>
      <c r="E60" s="98" t="s">
        <v>49</v>
      </c>
      <c r="F60" s="98" t="s">
        <v>49</v>
      </c>
      <c r="G60" s="177">
        <v>-311</v>
      </c>
      <c r="H60" s="177">
        <v>-267</v>
      </c>
      <c r="J60" s="183"/>
      <c r="K60" s="183"/>
      <c r="L60" s="183"/>
      <c r="M60" s="183"/>
      <c r="N60" s="183"/>
      <c r="O60" s="183"/>
    </row>
    <row r="61" spans="1:15" s="4" customFormat="1" x14ac:dyDescent="0.25">
      <c r="A61" s="2"/>
      <c r="B61" s="4" t="s">
        <v>171</v>
      </c>
      <c r="C61" s="98" t="s">
        <v>49</v>
      </c>
      <c r="D61" s="98" t="s">
        <v>49</v>
      </c>
      <c r="E61" s="98" t="s">
        <v>49</v>
      </c>
      <c r="F61" s="98" t="s">
        <v>49</v>
      </c>
      <c r="G61" s="177">
        <v>-1300</v>
      </c>
      <c r="H61" s="177">
        <v>-1100</v>
      </c>
      <c r="J61" s="183"/>
      <c r="K61" s="183"/>
      <c r="L61" s="183"/>
      <c r="M61" s="183"/>
      <c r="N61" s="183"/>
      <c r="O61" s="183"/>
    </row>
    <row r="62" spans="1:15" s="4" customFormat="1" x14ac:dyDescent="0.25">
      <c r="A62" s="2"/>
      <c r="B62" s="4" t="s">
        <v>172</v>
      </c>
      <c r="C62" s="98" t="s">
        <v>49</v>
      </c>
      <c r="D62" s="98" t="s">
        <v>49</v>
      </c>
      <c r="E62" s="177">
        <v>0</v>
      </c>
      <c r="F62" s="177">
        <v>0</v>
      </c>
      <c r="G62" s="98" t="s">
        <v>49</v>
      </c>
      <c r="H62" s="98" t="s">
        <v>49</v>
      </c>
      <c r="J62" s="183"/>
      <c r="K62" s="183"/>
      <c r="L62" s="183"/>
      <c r="M62" s="183"/>
      <c r="N62" s="183"/>
      <c r="O62" s="183"/>
    </row>
    <row r="63" spans="1:15" s="4" customFormat="1" x14ac:dyDescent="0.25">
      <c r="A63" s="2"/>
      <c r="B63" s="4" t="s">
        <v>173</v>
      </c>
      <c r="C63" s="177">
        <v>0.2</v>
      </c>
      <c r="D63" s="177">
        <v>-4.62</v>
      </c>
      <c r="E63" s="177">
        <v>-1.28</v>
      </c>
      <c r="F63" s="177">
        <v>-3.82</v>
      </c>
      <c r="G63" s="177">
        <v>1.55</v>
      </c>
      <c r="H63" s="177">
        <v>1.82</v>
      </c>
      <c r="J63" s="183"/>
      <c r="K63" s="183"/>
      <c r="L63" s="183"/>
      <c r="M63" s="183"/>
      <c r="N63" s="183"/>
      <c r="O63" s="183"/>
    </row>
    <row r="64" spans="1:15" s="4" customFormat="1" x14ac:dyDescent="0.25">
      <c r="A64" s="2"/>
      <c r="B64" s="4" t="s">
        <v>174</v>
      </c>
      <c r="C64" s="177">
        <v>0.2</v>
      </c>
      <c r="D64" s="177">
        <v>-4.62</v>
      </c>
      <c r="E64" s="177">
        <v>-1.28</v>
      </c>
      <c r="F64" s="177">
        <v>-3.82</v>
      </c>
      <c r="G64" s="177">
        <v>1.55</v>
      </c>
      <c r="H64" s="177">
        <v>1.82</v>
      </c>
      <c r="J64" s="183"/>
      <c r="K64" s="183"/>
      <c r="L64" s="183"/>
      <c r="M64" s="183"/>
      <c r="N64" s="183"/>
      <c r="O64" s="183"/>
    </row>
    <row r="65" spans="1:15" s="4" customFormat="1" x14ac:dyDescent="0.25">
      <c r="A65" s="2"/>
      <c r="B65" s="4" t="s">
        <v>175</v>
      </c>
      <c r="C65" s="177">
        <v>0.19</v>
      </c>
      <c r="D65" s="177">
        <v>-4.62</v>
      </c>
      <c r="E65" s="177">
        <v>-1.28</v>
      </c>
      <c r="F65" s="177">
        <v>-3.82</v>
      </c>
      <c r="G65" s="177">
        <v>1.54</v>
      </c>
      <c r="H65" s="177">
        <v>1.81</v>
      </c>
      <c r="J65" s="183"/>
      <c r="K65" s="183"/>
      <c r="L65" s="183"/>
      <c r="M65" s="183"/>
      <c r="N65" s="183"/>
      <c r="O65" s="183"/>
    </row>
    <row r="66" spans="1:15" s="4" customFormat="1" x14ac:dyDescent="0.25">
      <c r="A66" s="2"/>
      <c r="B66" s="4" t="s">
        <v>176</v>
      </c>
      <c r="C66" s="177">
        <v>0.19</v>
      </c>
      <c r="D66" s="177">
        <v>-4.62</v>
      </c>
      <c r="E66" s="177">
        <v>-1.28</v>
      </c>
      <c r="F66" s="177">
        <v>-3.82</v>
      </c>
      <c r="G66" s="177">
        <v>1.54</v>
      </c>
      <c r="H66" s="177">
        <v>1.81</v>
      </c>
      <c r="J66" s="183"/>
      <c r="K66" s="183"/>
      <c r="L66" s="183"/>
      <c r="M66" s="183"/>
      <c r="N66" s="183"/>
      <c r="O66" s="183"/>
    </row>
    <row r="67" spans="1:15" s="4" customFormat="1" x14ac:dyDescent="0.25">
      <c r="A67" s="2"/>
      <c r="B67" s="4" t="s">
        <v>177</v>
      </c>
      <c r="C67" s="177">
        <v>2468</v>
      </c>
      <c r="D67" s="177">
        <v>2450</v>
      </c>
      <c r="E67" s="177">
        <v>2436</v>
      </c>
      <c r="F67" s="177">
        <v>1940</v>
      </c>
      <c r="G67" s="177">
        <v>503</v>
      </c>
      <c r="H67" s="177">
        <v>505</v>
      </c>
      <c r="J67" s="183"/>
      <c r="K67" s="183"/>
      <c r="L67" s="183"/>
      <c r="M67" s="183"/>
      <c r="N67" s="183"/>
      <c r="O67" s="183"/>
    </row>
    <row r="68" spans="1:15" s="4" customFormat="1" x14ac:dyDescent="0.25">
      <c r="A68" s="2"/>
      <c r="B68" s="4" t="s">
        <v>178</v>
      </c>
      <c r="C68" s="177">
        <v>2495.75</v>
      </c>
      <c r="D68" s="177">
        <v>2450</v>
      </c>
      <c r="E68" s="177">
        <v>2436</v>
      </c>
      <c r="F68" s="177">
        <v>1940</v>
      </c>
      <c r="G68" s="177">
        <v>664</v>
      </c>
      <c r="H68" s="177">
        <v>672</v>
      </c>
      <c r="J68" s="183"/>
      <c r="K68" s="183"/>
      <c r="L68" s="183"/>
      <c r="M68" s="183"/>
      <c r="N68" s="183"/>
      <c r="O68" s="183"/>
    </row>
    <row r="69" spans="1:15" s="4" customFormat="1" x14ac:dyDescent="0.25">
      <c r="A69" s="2"/>
      <c r="B69" s="4" t="s">
        <v>179</v>
      </c>
      <c r="C69" s="98" t="s">
        <v>49</v>
      </c>
      <c r="D69" s="98" t="s">
        <v>49</v>
      </c>
      <c r="E69" s="98" t="s">
        <v>49</v>
      </c>
      <c r="F69" s="98" t="s">
        <v>49</v>
      </c>
      <c r="G69" s="98" t="s">
        <v>49</v>
      </c>
      <c r="H69" s="177">
        <v>3.2</v>
      </c>
      <c r="J69" s="183"/>
      <c r="K69" s="183"/>
      <c r="L69" s="183"/>
      <c r="M69" s="183"/>
      <c r="N69" s="183"/>
      <c r="O69" s="183"/>
    </row>
    <row r="70" spans="1:15" s="4" customFormat="1" x14ac:dyDescent="0.25">
      <c r="A70" s="2"/>
      <c r="B70" s="4" t="s">
        <v>173</v>
      </c>
      <c r="C70" s="177">
        <v>0.2</v>
      </c>
      <c r="D70" s="177">
        <v>-4.62</v>
      </c>
      <c r="E70" s="177">
        <v>-1.28</v>
      </c>
      <c r="F70" s="177">
        <v>-3.82</v>
      </c>
      <c r="G70" s="177">
        <v>1.55</v>
      </c>
      <c r="H70" s="177">
        <v>1.82</v>
      </c>
      <c r="J70" s="183"/>
      <c r="K70" s="183"/>
      <c r="L70" s="183"/>
      <c r="M70" s="183"/>
      <c r="N70" s="183"/>
      <c r="O70" s="183"/>
    </row>
    <row r="71" spans="1:15" s="4" customFormat="1" x14ac:dyDescent="0.25">
      <c r="A71" s="2"/>
      <c r="B71" s="4" t="s">
        <v>175</v>
      </c>
      <c r="C71" s="177">
        <v>0.19</v>
      </c>
      <c r="D71" s="177">
        <v>-4.62</v>
      </c>
      <c r="E71" s="177">
        <v>-1.28</v>
      </c>
      <c r="F71" s="177">
        <v>-3.82</v>
      </c>
      <c r="G71" s="177">
        <v>1.54</v>
      </c>
      <c r="H71" s="177">
        <v>1.81</v>
      </c>
      <c r="J71" s="183"/>
      <c r="K71" s="183"/>
      <c r="L71" s="183"/>
      <c r="M71" s="183"/>
      <c r="N71" s="183"/>
      <c r="O71" s="183"/>
    </row>
    <row r="72" spans="1:15" s="4" customFormat="1" x14ac:dyDescent="0.25">
      <c r="A72" s="2"/>
      <c r="B72" s="4" t="s">
        <v>180</v>
      </c>
      <c r="C72" s="177">
        <v>2468</v>
      </c>
      <c r="D72" s="177">
        <v>2450</v>
      </c>
      <c r="E72" s="177">
        <v>2436</v>
      </c>
      <c r="F72" s="177">
        <v>1940</v>
      </c>
      <c r="G72" s="177">
        <v>503</v>
      </c>
      <c r="H72" s="177">
        <v>505</v>
      </c>
      <c r="J72" s="183"/>
      <c r="K72" s="183"/>
      <c r="L72" s="183"/>
      <c r="M72" s="183"/>
      <c r="N72" s="183"/>
      <c r="O72" s="183"/>
    </row>
    <row r="73" spans="1:15" s="4" customFormat="1" x14ac:dyDescent="0.25">
      <c r="A73" s="2"/>
      <c r="B73" s="4" t="s">
        <v>181</v>
      </c>
      <c r="C73" s="177">
        <v>2495.75</v>
      </c>
      <c r="D73" s="177">
        <v>2450</v>
      </c>
      <c r="E73" s="177">
        <v>2436</v>
      </c>
      <c r="F73" s="177">
        <v>1940</v>
      </c>
      <c r="G73" s="177">
        <v>664</v>
      </c>
      <c r="H73" s="177">
        <v>672</v>
      </c>
      <c r="J73" s="183"/>
      <c r="K73" s="183"/>
      <c r="L73" s="183"/>
      <c r="M73" s="183"/>
      <c r="N73" s="183"/>
      <c r="O73" s="183"/>
    </row>
    <row r="74" spans="1:15" s="4" customFormat="1" x14ac:dyDescent="0.25">
      <c r="A74" s="2"/>
      <c r="B74" s="4" t="s">
        <v>113</v>
      </c>
    </row>
  </sheetData>
  <sortState xmlns:xlrd2="http://schemas.microsoft.com/office/spreadsheetml/2017/richdata2" columnSort="1" ref="B4:H74">
    <sortCondition descending="1" ref="B4:H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FE1A-412C-493B-929B-421CCCE5B2BF}">
  <dimension ref="B1:O40"/>
  <sheetViews>
    <sheetView showGridLines="0" workbookViewId="0">
      <selection activeCell="A8" sqref="A8"/>
    </sheetView>
  </sheetViews>
  <sheetFormatPr defaultRowHeight="12.75" x14ac:dyDescent="0.2"/>
  <cols>
    <col min="1" max="1" width="9.140625" style="4"/>
    <col min="2" max="2" width="70.5703125" style="4" bestFit="1" customWidth="1"/>
    <col min="3" max="3" width="18" style="4" bestFit="1" customWidth="1"/>
    <col min="4" max="8" width="13.42578125" style="4" bestFit="1" customWidth="1"/>
    <col min="9" max="9" width="9.140625" style="4"/>
    <col min="10" max="14" width="10.5703125" style="4" bestFit="1" customWidth="1"/>
    <col min="15" max="15" width="9.5703125" style="4" bestFit="1" customWidth="1"/>
    <col min="16" max="16384" width="9.140625" style="4"/>
  </cols>
  <sheetData>
    <row r="1" spans="2:15" s="2" customFormat="1" ht="15" x14ac:dyDescent="0.25"/>
    <row r="2" spans="2:15" s="2" customFormat="1" ht="26.25" x14ac:dyDescent="0.25">
      <c r="B2" s="1" t="s">
        <v>535</v>
      </c>
      <c r="C2" s="1"/>
      <c r="D2" s="1"/>
      <c r="E2" s="1"/>
      <c r="F2" s="1"/>
      <c r="G2" s="1"/>
      <c r="H2" s="1"/>
    </row>
    <row r="3" spans="2:15" ht="8.25" customHeight="1" x14ac:dyDescent="0.2"/>
    <row r="4" spans="2:15" x14ac:dyDescent="0.2">
      <c r="B4" s="176" t="s">
        <v>351</v>
      </c>
      <c r="C4" s="176" t="s">
        <v>34</v>
      </c>
      <c r="D4" s="176" t="s">
        <v>33</v>
      </c>
      <c r="E4" s="176" t="s">
        <v>32</v>
      </c>
      <c r="F4" s="176" t="s">
        <v>31</v>
      </c>
      <c r="G4" s="176" t="s">
        <v>30</v>
      </c>
      <c r="H4" s="176" t="s">
        <v>29</v>
      </c>
    </row>
    <row r="5" spans="2:15" x14ac:dyDescent="0.2">
      <c r="B5" s="4" t="s">
        <v>115</v>
      </c>
      <c r="C5" s="177">
        <v>20858.715</v>
      </c>
      <c r="D5" s="177">
        <v>17962.502</v>
      </c>
      <c r="E5" s="177">
        <v>14007.929</v>
      </c>
      <c r="F5" s="177">
        <v>12447.264999999999</v>
      </c>
      <c r="G5" s="177">
        <v>12365.161</v>
      </c>
      <c r="H5" s="177">
        <v>9719.7369999999992</v>
      </c>
      <c r="J5" s="98"/>
      <c r="K5" s="98"/>
      <c r="L5" s="98"/>
      <c r="M5" s="98"/>
      <c r="N5" s="98"/>
      <c r="O5" s="98"/>
    </row>
    <row r="6" spans="2:15" x14ac:dyDescent="0.2">
      <c r="B6" s="178" t="s">
        <v>116</v>
      </c>
      <c r="C6" s="179">
        <v>43378.786999999997</v>
      </c>
      <c r="D6" s="179">
        <v>39000.966</v>
      </c>
      <c r="E6" s="179">
        <v>33723.296999999999</v>
      </c>
      <c r="F6" s="179">
        <v>31615.55</v>
      </c>
      <c r="G6" s="179">
        <v>29697.844000000001</v>
      </c>
      <c r="H6" s="179">
        <v>24996.056</v>
      </c>
      <c r="J6" s="98"/>
      <c r="K6" s="98"/>
      <c r="L6" s="98"/>
      <c r="M6" s="98"/>
      <c r="N6" s="98"/>
      <c r="O6" s="98"/>
    </row>
    <row r="7" spans="2:15" x14ac:dyDescent="0.2">
      <c r="B7" s="4" t="s">
        <v>117</v>
      </c>
      <c r="C7" s="177">
        <v>43378.786999999997</v>
      </c>
      <c r="D7" s="177">
        <v>39000.966</v>
      </c>
      <c r="E7" s="177">
        <v>33723.296999999999</v>
      </c>
      <c r="F7" s="177">
        <v>31615.55</v>
      </c>
      <c r="G7" s="177">
        <v>29697.844000000001</v>
      </c>
      <c r="H7" s="177">
        <v>24996.056</v>
      </c>
      <c r="J7" s="98"/>
      <c r="K7" s="98"/>
      <c r="L7" s="98"/>
      <c r="M7" s="98"/>
      <c r="N7" s="98"/>
      <c r="O7" s="98"/>
    </row>
    <row r="8" spans="2:15" x14ac:dyDescent="0.2">
      <c r="B8" s="178" t="s">
        <v>119</v>
      </c>
      <c r="C8" s="179">
        <v>-22520.072</v>
      </c>
      <c r="D8" s="179">
        <v>-21038.464</v>
      </c>
      <c r="E8" s="179">
        <v>-19715.367999999999</v>
      </c>
      <c r="F8" s="179">
        <v>-19168.285</v>
      </c>
      <c r="G8" s="179">
        <v>-17332.683000000001</v>
      </c>
      <c r="H8" s="179">
        <v>-15276.319</v>
      </c>
      <c r="J8" s="98"/>
      <c r="K8" s="98"/>
      <c r="L8" s="98"/>
      <c r="M8" s="98"/>
      <c r="N8" s="98"/>
      <c r="O8" s="98"/>
    </row>
    <row r="9" spans="2:15" x14ac:dyDescent="0.2">
      <c r="B9" s="4" t="s">
        <v>120</v>
      </c>
      <c r="C9" s="177">
        <v>-8216.009</v>
      </c>
      <c r="D9" s="177">
        <v>-7544.8879999999999</v>
      </c>
      <c r="E9" s="177">
        <v>-7053.9260000000004</v>
      </c>
      <c r="F9" s="177">
        <v>-6814.4340000000002</v>
      </c>
      <c r="G9" s="177">
        <v>-6170.652</v>
      </c>
      <c r="H9" s="177">
        <v>-5134.4480000000003</v>
      </c>
      <c r="J9" s="98"/>
      <c r="K9" s="98"/>
      <c r="L9" s="98"/>
      <c r="M9" s="98"/>
      <c r="N9" s="98"/>
      <c r="O9" s="98"/>
    </row>
    <row r="10" spans="2:15" x14ac:dyDescent="0.2">
      <c r="B10" s="178" t="s">
        <v>121</v>
      </c>
      <c r="C10" s="179">
        <v>-4938.4139999999998</v>
      </c>
      <c r="D10" s="179">
        <v>-4619.5929999999998</v>
      </c>
      <c r="E10" s="179">
        <v>-4378.1679999999997</v>
      </c>
      <c r="F10" s="179">
        <v>-4103.393</v>
      </c>
      <c r="G10" s="179">
        <v>-3896.7669999999998</v>
      </c>
      <c r="H10" s="179">
        <v>-3304.848</v>
      </c>
      <c r="J10" s="98"/>
      <c r="K10" s="98"/>
      <c r="L10" s="98"/>
      <c r="M10" s="98"/>
      <c r="N10" s="98"/>
      <c r="O10" s="98"/>
    </row>
    <row r="11" spans="2:15" x14ac:dyDescent="0.2">
      <c r="B11" s="180" t="s">
        <v>352</v>
      </c>
      <c r="C11" s="181">
        <v>-1774.28</v>
      </c>
      <c r="D11" s="181">
        <v>-1702.039</v>
      </c>
      <c r="E11" s="181">
        <v>-1720.2850000000001</v>
      </c>
      <c r="F11" s="181">
        <v>-1572.8910000000001</v>
      </c>
      <c r="G11" s="181">
        <v>-1351.6210000000001</v>
      </c>
      <c r="H11" s="181">
        <v>-1076.4860000000001</v>
      </c>
      <c r="J11" s="98"/>
      <c r="K11" s="98"/>
      <c r="L11" s="98"/>
      <c r="M11" s="98"/>
      <c r="N11" s="98"/>
      <c r="O11" s="98"/>
    </row>
    <row r="12" spans="2:15" x14ac:dyDescent="0.2">
      <c r="B12" s="180" t="s">
        <v>353</v>
      </c>
      <c r="C12" s="181">
        <v>-3164.134</v>
      </c>
      <c r="D12" s="181">
        <v>-2917.5540000000001</v>
      </c>
      <c r="E12" s="181">
        <v>-2657.8829999999998</v>
      </c>
      <c r="F12" s="181">
        <v>-2530.502</v>
      </c>
      <c r="G12" s="181">
        <v>-2545.1460000000002</v>
      </c>
      <c r="H12" s="181">
        <v>-2228.3620000000001</v>
      </c>
      <c r="J12" s="98"/>
      <c r="K12" s="98"/>
      <c r="L12" s="98"/>
      <c r="M12" s="98"/>
      <c r="N12" s="98"/>
      <c r="O12" s="98"/>
    </row>
    <row r="13" spans="2:15" x14ac:dyDescent="0.2">
      <c r="B13" s="178" t="s">
        <v>354</v>
      </c>
      <c r="C13" s="179">
        <v>-3277.5949999999998</v>
      </c>
      <c r="D13" s="179">
        <v>-2925.2950000000001</v>
      </c>
      <c r="E13" s="179">
        <v>-2675.7579999999998</v>
      </c>
      <c r="F13" s="179">
        <v>-2711.0410000000002</v>
      </c>
      <c r="G13" s="179">
        <v>-2273.8850000000002</v>
      </c>
      <c r="H13" s="179">
        <v>-1829.6</v>
      </c>
      <c r="J13" s="98"/>
      <c r="K13" s="98"/>
      <c r="L13" s="98"/>
      <c r="M13" s="98"/>
      <c r="N13" s="98"/>
      <c r="O13" s="98"/>
    </row>
    <row r="14" spans="2:15" x14ac:dyDescent="0.2">
      <c r="B14" s="178" t="s">
        <v>124</v>
      </c>
      <c r="C14" s="179">
        <v>12642.706</v>
      </c>
      <c r="D14" s="179">
        <v>10417.614</v>
      </c>
      <c r="E14" s="179">
        <v>6954.0029999999997</v>
      </c>
      <c r="F14" s="179">
        <v>5632.8310000000001</v>
      </c>
      <c r="G14" s="179">
        <v>6194.509</v>
      </c>
      <c r="H14" s="179">
        <v>4585.2889999999998</v>
      </c>
      <c r="J14" s="98"/>
      <c r="K14" s="98"/>
      <c r="L14" s="98"/>
      <c r="M14" s="98"/>
      <c r="N14" s="98"/>
      <c r="O14" s="98"/>
    </row>
    <row r="15" spans="2:15" x14ac:dyDescent="0.2">
      <c r="B15" s="4" t="s">
        <v>125</v>
      </c>
      <c r="C15" s="177">
        <v>-553.62699999999995</v>
      </c>
      <c r="D15" s="177">
        <v>-451.95699999999999</v>
      </c>
      <c r="E15" s="177">
        <v>-748.59799999999996</v>
      </c>
      <c r="F15" s="177">
        <v>-368.90199999999999</v>
      </c>
      <c r="G15" s="177">
        <v>-354.40600000000001</v>
      </c>
      <c r="H15" s="177">
        <v>-1385.94</v>
      </c>
      <c r="J15" s="98"/>
      <c r="K15" s="98"/>
      <c r="L15" s="98"/>
      <c r="M15" s="98"/>
      <c r="N15" s="98"/>
      <c r="O15" s="98"/>
    </row>
    <row r="16" spans="2:15" x14ac:dyDescent="0.2">
      <c r="B16" s="4" t="s">
        <v>126</v>
      </c>
      <c r="C16" s="177">
        <v>-553.62699999999995</v>
      </c>
      <c r="D16" s="177">
        <v>-451.95699999999999</v>
      </c>
      <c r="E16" s="177">
        <v>-748.59799999999996</v>
      </c>
      <c r="F16" s="177">
        <v>-368.90199999999999</v>
      </c>
      <c r="G16" s="177">
        <v>-354.40600000000001</v>
      </c>
      <c r="H16" s="177">
        <v>-1385.94</v>
      </c>
      <c r="J16" s="98"/>
      <c r="K16" s="98"/>
      <c r="L16" s="98"/>
      <c r="M16" s="98"/>
      <c r="N16" s="98"/>
      <c r="O16" s="98"/>
    </row>
    <row r="17" spans="2:15" x14ac:dyDescent="0.2">
      <c r="B17" s="4" t="s">
        <v>127</v>
      </c>
      <c r="C17" s="177">
        <v>-553.62699999999995</v>
      </c>
      <c r="D17" s="177">
        <v>-451.95699999999999</v>
      </c>
      <c r="E17" s="177">
        <v>-748.59799999999996</v>
      </c>
      <c r="F17" s="177">
        <v>-368.90199999999999</v>
      </c>
      <c r="G17" s="177">
        <v>-354.40600000000001</v>
      </c>
      <c r="H17" s="177">
        <v>-1385.94</v>
      </c>
      <c r="J17" s="98"/>
      <c r="K17" s="98"/>
      <c r="L17" s="98"/>
      <c r="M17" s="98"/>
      <c r="N17" s="98"/>
      <c r="O17" s="98"/>
    </row>
    <row r="18" spans="2:15" x14ac:dyDescent="0.2">
      <c r="B18" s="178" t="s">
        <v>128</v>
      </c>
      <c r="C18" s="179">
        <v>-734.71799999999996</v>
      </c>
      <c r="D18" s="179">
        <v>-718.73299999999995</v>
      </c>
      <c r="E18" s="179">
        <v>-748.59799999999996</v>
      </c>
      <c r="F18" s="179">
        <v>-706.21199999999999</v>
      </c>
      <c r="G18" s="179">
        <v>-765.62</v>
      </c>
      <c r="H18" s="179">
        <v>-1385.94</v>
      </c>
      <c r="J18" s="98"/>
      <c r="K18" s="98"/>
      <c r="L18" s="98"/>
      <c r="M18" s="98"/>
      <c r="N18" s="98"/>
      <c r="O18" s="98"/>
    </row>
    <row r="19" spans="2:15" x14ac:dyDescent="0.2">
      <c r="B19" s="178" t="s">
        <v>129</v>
      </c>
      <c r="C19" s="179">
        <v>181.09100000000001</v>
      </c>
      <c r="D19" s="179">
        <v>266.77600000000001</v>
      </c>
      <c r="E19" s="182" t="s">
        <v>49</v>
      </c>
      <c r="F19" s="179">
        <v>337.31</v>
      </c>
      <c r="G19" s="179">
        <v>411.214</v>
      </c>
      <c r="H19" s="182" t="s">
        <v>49</v>
      </c>
      <c r="J19" s="98"/>
      <c r="K19" s="98"/>
      <c r="L19" s="98"/>
      <c r="M19" s="98"/>
      <c r="N19" s="98"/>
      <c r="O19" s="98"/>
    </row>
    <row r="20" spans="2:15" x14ac:dyDescent="0.2">
      <c r="B20" s="4" t="s">
        <v>138</v>
      </c>
      <c r="C20" s="98" t="s">
        <v>49</v>
      </c>
      <c r="D20" s="98" t="s">
        <v>49</v>
      </c>
      <c r="E20" s="98" t="s">
        <v>49</v>
      </c>
      <c r="F20" s="98" t="s">
        <v>49</v>
      </c>
      <c r="G20" s="98" t="s">
        <v>49</v>
      </c>
      <c r="H20" s="98" t="s">
        <v>49</v>
      </c>
      <c r="J20" s="98"/>
      <c r="K20" s="98"/>
      <c r="L20" s="98"/>
      <c r="M20" s="98"/>
      <c r="N20" s="98"/>
      <c r="O20" s="98"/>
    </row>
    <row r="21" spans="2:15" x14ac:dyDescent="0.2">
      <c r="B21" s="4" t="s">
        <v>141</v>
      </c>
      <c r="C21" s="98" t="s">
        <v>49</v>
      </c>
      <c r="D21" s="98" t="s">
        <v>49</v>
      </c>
      <c r="E21" s="98" t="s">
        <v>49</v>
      </c>
      <c r="F21" s="98" t="s">
        <v>49</v>
      </c>
      <c r="G21" s="98" t="s">
        <v>49</v>
      </c>
      <c r="H21" s="98" t="s">
        <v>49</v>
      </c>
      <c r="J21" s="98"/>
      <c r="K21" s="98"/>
      <c r="L21" s="98"/>
      <c r="M21" s="98"/>
      <c r="N21" s="98"/>
      <c r="O21" s="98"/>
    </row>
    <row r="22" spans="2:15" x14ac:dyDescent="0.2">
      <c r="B22" s="4" t="s">
        <v>148</v>
      </c>
      <c r="C22" s="177">
        <v>12089.079</v>
      </c>
      <c r="D22" s="177">
        <v>9965.6569999999992</v>
      </c>
      <c r="E22" s="177">
        <v>6205.4049999999997</v>
      </c>
      <c r="F22" s="177">
        <v>5263.9290000000001</v>
      </c>
      <c r="G22" s="177">
        <v>5840.1030000000001</v>
      </c>
      <c r="H22" s="177">
        <v>3199.3490000000002</v>
      </c>
      <c r="J22" s="98"/>
      <c r="K22" s="98"/>
      <c r="L22" s="98"/>
      <c r="M22" s="98"/>
      <c r="N22" s="98"/>
      <c r="O22" s="98"/>
    </row>
    <row r="23" spans="2:15" x14ac:dyDescent="0.2">
      <c r="B23" s="4" t="s">
        <v>149</v>
      </c>
      <c r="C23" s="177">
        <v>-1657.7919999999999</v>
      </c>
      <c r="D23" s="177">
        <v>-1254.0260000000001</v>
      </c>
      <c r="E23" s="177">
        <v>-797.41499999999996</v>
      </c>
      <c r="F23" s="177">
        <v>-772.005</v>
      </c>
      <c r="G23" s="177">
        <v>-723.875</v>
      </c>
      <c r="H23" s="177">
        <v>-437.95400000000001</v>
      </c>
      <c r="J23" s="98"/>
      <c r="K23" s="98"/>
      <c r="L23" s="98"/>
      <c r="M23" s="98"/>
      <c r="N23" s="98"/>
      <c r="O23" s="98"/>
    </row>
    <row r="24" spans="2:15" x14ac:dyDescent="0.2">
      <c r="B24" s="4" t="s">
        <v>150</v>
      </c>
      <c r="C24" s="177">
        <v>10431.287</v>
      </c>
      <c r="D24" s="177">
        <v>8711.6309999999994</v>
      </c>
      <c r="E24" s="177">
        <v>5407.99</v>
      </c>
      <c r="F24" s="177">
        <v>4491.924</v>
      </c>
      <c r="G24" s="177">
        <v>5116.2280000000001</v>
      </c>
      <c r="H24" s="177">
        <v>2761.395</v>
      </c>
      <c r="J24" s="98"/>
      <c r="K24" s="98"/>
      <c r="L24" s="98"/>
      <c r="M24" s="98"/>
      <c r="N24" s="98"/>
      <c r="O24" s="98"/>
    </row>
    <row r="25" spans="2:15" x14ac:dyDescent="0.2">
      <c r="B25" s="4" t="s">
        <v>151</v>
      </c>
      <c r="C25" s="177">
        <v>10431.287</v>
      </c>
      <c r="D25" s="177">
        <v>8711.6309999999994</v>
      </c>
      <c r="E25" s="177">
        <v>5407.99</v>
      </c>
      <c r="F25" s="177">
        <v>4491.924</v>
      </c>
      <c r="G25" s="177">
        <v>5116.2280000000001</v>
      </c>
      <c r="H25" s="177">
        <v>2761.395</v>
      </c>
      <c r="J25" s="98"/>
      <c r="K25" s="98"/>
      <c r="L25" s="98"/>
      <c r="M25" s="98"/>
      <c r="N25" s="98"/>
      <c r="O25" s="98"/>
    </row>
    <row r="26" spans="2:15" x14ac:dyDescent="0.2">
      <c r="B26" s="4" t="s">
        <v>153</v>
      </c>
      <c r="C26" s="177">
        <v>10431.287</v>
      </c>
      <c r="D26" s="177">
        <v>8711.6309999999994</v>
      </c>
      <c r="E26" s="177">
        <v>5407.99</v>
      </c>
      <c r="F26" s="177">
        <v>4491.924</v>
      </c>
      <c r="G26" s="177">
        <v>5116.2280000000001</v>
      </c>
      <c r="H26" s="177">
        <v>2761.395</v>
      </c>
      <c r="J26" s="98"/>
      <c r="K26" s="98"/>
      <c r="L26" s="98"/>
      <c r="M26" s="98"/>
      <c r="N26" s="98"/>
      <c r="O26" s="98"/>
    </row>
    <row r="27" spans="2:15" x14ac:dyDescent="0.2">
      <c r="B27" s="4" t="s">
        <v>158</v>
      </c>
      <c r="C27" s="177">
        <v>10431.287</v>
      </c>
      <c r="D27" s="177">
        <v>8711.6309999999994</v>
      </c>
      <c r="E27" s="177">
        <v>5407.99</v>
      </c>
      <c r="F27" s="177">
        <v>4491.924</v>
      </c>
      <c r="G27" s="177">
        <v>5116.2280000000001</v>
      </c>
      <c r="H27" s="177">
        <v>2761.395</v>
      </c>
      <c r="J27" s="98"/>
      <c r="K27" s="98"/>
      <c r="L27" s="98"/>
      <c r="M27" s="98"/>
      <c r="N27" s="98"/>
      <c r="O27" s="98"/>
    </row>
    <row r="28" spans="2:15" x14ac:dyDescent="0.2">
      <c r="B28" s="4" t="s">
        <v>159</v>
      </c>
      <c r="C28" s="177">
        <v>10431.287</v>
      </c>
      <c r="D28" s="177">
        <v>8711.6309999999994</v>
      </c>
      <c r="E28" s="177">
        <v>5407.99</v>
      </c>
      <c r="F28" s="177">
        <v>4491.924</v>
      </c>
      <c r="G28" s="177">
        <v>5116.2280000000001</v>
      </c>
      <c r="H28" s="177">
        <v>2761.395</v>
      </c>
      <c r="J28" s="98"/>
      <c r="K28" s="98"/>
      <c r="L28" s="98"/>
      <c r="M28" s="98"/>
      <c r="N28" s="98"/>
      <c r="O28" s="98"/>
    </row>
    <row r="29" spans="2:15" x14ac:dyDescent="0.2">
      <c r="B29" s="4" t="s">
        <v>160</v>
      </c>
      <c r="C29" s="98" t="s">
        <v>49</v>
      </c>
      <c r="D29" s="98" t="s">
        <v>49</v>
      </c>
      <c r="E29" s="98" t="s">
        <v>49</v>
      </c>
      <c r="F29" s="98" t="s">
        <v>49</v>
      </c>
      <c r="G29" s="98" t="s">
        <v>49</v>
      </c>
      <c r="H29" s="98" t="s">
        <v>49</v>
      </c>
      <c r="J29" s="98"/>
      <c r="K29" s="98"/>
      <c r="L29" s="98"/>
      <c r="M29" s="98"/>
      <c r="N29" s="98"/>
      <c r="O29" s="98"/>
    </row>
    <row r="30" spans="2:15" x14ac:dyDescent="0.2">
      <c r="B30" s="4" t="s">
        <v>161</v>
      </c>
      <c r="C30" s="98" t="s">
        <v>49</v>
      </c>
      <c r="D30" s="98" t="s">
        <v>49</v>
      </c>
      <c r="E30" s="98" t="s">
        <v>49</v>
      </c>
      <c r="F30" s="98" t="s">
        <v>49</v>
      </c>
      <c r="G30" s="98" t="s">
        <v>49</v>
      </c>
      <c r="H30" s="98" t="s">
        <v>49</v>
      </c>
      <c r="J30" s="98"/>
      <c r="K30" s="98"/>
      <c r="L30" s="98"/>
      <c r="M30" s="98"/>
      <c r="N30" s="98"/>
      <c r="O30" s="98"/>
    </row>
    <row r="31" spans="2:15" x14ac:dyDescent="0.2">
      <c r="B31" s="4" t="s">
        <v>162</v>
      </c>
      <c r="C31" s="177">
        <v>43378.786999999997</v>
      </c>
      <c r="D31" s="177">
        <v>39000.966</v>
      </c>
      <c r="E31" s="177">
        <v>33723.296999999999</v>
      </c>
      <c r="F31" s="177">
        <v>31615.55</v>
      </c>
      <c r="G31" s="177">
        <v>29697.844000000001</v>
      </c>
      <c r="H31" s="177">
        <v>24996.056</v>
      </c>
      <c r="J31" s="98"/>
      <c r="K31" s="98"/>
      <c r="L31" s="98"/>
      <c r="M31" s="98"/>
      <c r="N31" s="98"/>
      <c r="O31" s="98"/>
    </row>
    <row r="32" spans="2:15" x14ac:dyDescent="0.2">
      <c r="B32" s="4" t="s">
        <v>163</v>
      </c>
      <c r="C32" s="177">
        <v>12642.706</v>
      </c>
      <c r="D32" s="177">
        <v>10417.614</v>
      </c>
      <c r="E32" s="177">
        <v>6954.0029999999997</v>
      </c>
      <c r="F32" s="177">
        <v>5632.8310000000001</v>
      </c>
      <c r="G32" s="177">
        <v>6194.509</v>
      </c>
      <c r="H32" s="177">
        <v>4585.2889999999998</v>
      </c>
      <c r="J32" s="98"/>
      <c r="K32" s="98"/>
      <c r="L32" s="98"/>
      <c r="M32" s="98"/>
      <c r="N32" s="98"/>
      <c r="O32" s="98"/>
    </row>
    <row r="33" spans="2:15" x14ac:dyDescent="0.2">
      <c r="B33" s="4" t="s">
        <v>164</v>
      </c>
      <c r="C33" s="98" t="s">
        <v>49</v>
      </c>
      <c r="D33" s="177">
        <v>0.13</v>
      </c>
      <c r="E33" s="177">
        <v>0.13</v>
      </c>
      <c r="F33" s="177">
        <v>0.15</v>
      </c>
      <c r="G33" s="177">
        <v>0.12</v>
      </c>
      <c r="H33" s="177">
        <v>0.14000000000000001</v>
      </c>
      <c r="J33" s="183"/>
      <c r="K33" s="183"/>
      <c r="L33" s="183"/>
      <c r="M33" s="183"/>
      <c r="N33" s="183"/>
      <c r="O33" s="183"/>
    </row>
    <row r="34" spans="2:15" x14ac:dyDescent="0.2">
      <c r="B34" s="4" t="s">
        <v>165</v>
      </c>
      <c r="C34" s="98" t="s">
        <v>49</v>
      </c>
      <c r="D34" s="98" t="s">
        <v>49</v>
      </c>
      <c r="E34" s="98" t="s">
        <v>49</v>
      </c>
      <c r="F34" s="177">
        <v>6544.9650000000001</v>
      </c>
      <c r="G34" s="98" t="s">
        <v>49</v>
      </c>
      <c r="H34" s="98" t="s">
        <v>49</v>
      </c>
      <c r="J34" s="98"/>
      <c r="K34" s="98"/>
      <c r="L34" s="98"/>
      <c r="M34" s="98"/>
      <c r="N34" s="98"/>
      <c r="O34" s="98"/>
    </row>
    <row r="35" spans="2:15" x14ac:dyDescent="0.2">
      <c r="B35" s="4" t="s">
        <v>172</v>
      </c>
      <c r="C35" s="98"/>
      <c r="D35" s="98"/>
      <c r="E35" s="98"/>
      <c r="F35" s="98"/>
      <c r="G35" s="98"/>
      <c r="H35" s="98"/>
    </row>
    <row r="36" spans="2:15" x14ac:dyDescent="0.2">
      <c r="B36" s="4" t="s">
        <v>173</v>
      </c>
      <c r="C36" s="177">
        <v>2.4500000000000002</v>
      </c>
      <c r="D36" s="177">
        <v>2.0299999999999998</v>
      </c>
      <c r="E36" s="177">
        <v>1.23</v>
      </c>
      <c r="F36" s="177">
        <v>1.01</v>
      </c>
      <c r="G36" s="177">
        <v>1.1599999999999999</v>
      </c>
      <c r="H36" s="177">
        <v>0.63</v>
      </c>
      <c r="J36" s="183"/>
      <c r="K36" s="183"/>
      <c r="L36" s="183"/>
      <c r="M36" s="183"/>
      <c r="N36" s="183"/>
      <c r="O36" s="183"/>
    </row>
    <row r="37" spans="2:15" x14ac:dyDescent="0.2">
      <c r="B37" s="4" t="s">
        <v>175</v>
      </c>
      <c r="C37" s="177">
        <v>2.39</v>
      </c>
      <c r="D37" s="177">
        <v>1.98</v>
      </c>
      <c r="E37" s="177">
        <v>1.2</v>
      </c>
      <c r="F37" s="177">
        <v>0.99</v>
      </c>
      <c r="G37" s="177">
        <v>1.1200000000000001</v>
      </c>
      <c r="H37" s="177">
        <v>0.61</v>
      </c>
      <c r="J37" s="183"/>
      <c r="K37" s="183"/>
      <c r="L37" s="183"/>
      <c r="M37" s="183"/>
      <c r="N37" s="183"/>
      <c r="O37" s="183"/>
    </row>
    <row r="38" spans="2:15" x14ac:dyDescent="0.2">
      <c r="B38" s="4" t="s">
        <v>180</v>
      </c>
      <c r="C38" s="177">
        <v>4261.5150000000003</v>
      </c>
      <c r="D38" s="177">
        <v>4295.1899999999996</v>
      </c>
      <c r="E38" s="177">
        <v>4415.71</v>
      </c>
      <c r="F38" s="177">
        <v>4446.9799999999996</v>
      </c>
      <c r="G38" s="177">
        <v>4431.55</v>
      </c>
      <c r="H38" s="177">
        <v>4409.22</v>
      </c>
      <c r="J38" s="98"/>
      <c r="K38" s="98"/>
      <c r="L38" s="98"/>
      <c r="M38" s="98"/>
      <c r="N38" s="98"/>
      <c r="O38" s="98"/>
    </row>
    <row r="39" spans="2:15" x14ac:dyDescent="0.2">
      <c r="B39" s="4" t="s">
        <v>181</v>
      </c>
      <c r="C39" s="177">
        <v>4359.0625</v>
      </c>
      <c r="D39" s="177">
        <v>4392.6099999999997</v>
      </c>
      <c r="E39" s="177">
        <v>4494.9799999999996</v>
      </c>
      <c r="F39" s="177">
        <v>4512.8999999999996</v>
      </c>
      <c r="G39" s="177">
        <v>4553.72</v>
      </c>
      <c r="H39" s="177">
        <v>4542.08</v>
      </c>
      <c r="J39" s="98"/>
      <c r="K39" s="98"/>
      <c r="L39" s="98"/>
      <c r="M39" s="98"/>
      <c r="N39" s="98"/>
      <c r="O39" s="98"/>
    </row>
    <row r="40" spans="2:15" x14ac:dyDescent="0.2">
      <c r="B40" s="4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AC8C-C2D6-4E12-8ECD-38D079563867}">
  <dimension ref="B1:V30"/>
  <sheetViews>
    <sheetView showGridLines="0" zoomScaleNormal="100" workbookViewId="0">
      <selection activeCell="G11" sqref="G11"/>
    </sheetView>
  </sheetViews>
  <sheetFormatPr defaultRowHeight="15" x14ac:dyDescent="0.25"/>
  <cols>
    <col min="1" max="1" width="9.140625" style="2"/>
    <col min="2" max="2" width="30.85546875" style="4" customWidth="1"/>
    <col min="3" max="4" width="6.7109375" style="4" bestFit="1" customWidth="1"/>
    <col min="5" max="5" width="10.42578125" style="4" bestFit="1" customWidth="1"/>
    <col min="6" max="6" width="16.5703125" style="4" customWidth="1"/>
    <col min="7" max="7" width="9.140625" style="4"/>
    <col min="8" max="8" width="24.42578125" style="4" customWidth="1"/>
    <col min="9" max="13" width="9.140625" style="4"/>
    <col min="14" max="14" width="17.28515625" style="4" customWidth="1"/>
    <col min="15" max="19" width="9.140625" style="4"/>
    <col min="20" max="20" width="21" style="4" bestFit="1" customWidth="1"/>
    <col min="21" max="22" width="10.5703125" style="4" bestFit="1" customWidth="1"/>
    <col min="23" max="16384" width="9.140625" style="2"/>
  </cols>
  <sheetData>
    <row r="1" spans="2:22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2" ht="26.25" x14ac:dyDescent="0.25">
      <c r="B2" s="1" t="s">
        <v>535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ht="10.5" customHeight="1" x14ac:dyDescent="0.25"/>
    <row r="4" spans="2:22" ht="29.25" customHeight="1" x14ac:dyDescent="0.25">
      <c r="B4" s="81" t="s">
        <v>540</v>
      </c>
      <c r="C4" s="84">
        <v>2024</v>
      </c>
      <c r="D4" s="84">
        <v>2023</v>
      </c>
      <c r="E4" s="84" t="s">
        <v>329</v>
      </c>
      <c r="F4" s="87" t="s">
        <v>330</v>
      </c>
      <c r="H4" s="186" t="s">
        <v>539</v>
      </c>
      <c r="I4" s="187">
        <v>2024</v>
      </c>
      <c r="J4" s="187">
        <v>2023</v>
      </c>
      <c r="K4" s="187" t="s">
        <v>306</v>
      </c>
      <c r="L4" s="188" t="s">
        <v>307</v>
      </c>
      <c r="N4" s="81" t="s">
        <v>369</v>
      </c>
      <c r="O4" s="84">
        <v>2024</v>
      </c>
      <c r="P4" s="84">
        <v>2023</v>
      </c>
      <c r="Q4" s="84" t="s">
        <v>329</v>
      </c>
      <c r="R4" s="87" t="s">
        <v>330</v>
      </c>
      <c r="T4" s="186" t="s">
        <v>542</v>
      </c>
      <c r="U4" s="189">
        <v>2024</v>
      </c>
      <c r="V4" s="190">
        <v>2023</v>
      </c>
    </row>
    <row r="5" spans="2:22" x14ac:dyDescent="0.25">
      <c r="B5" s="99" t="s">
        <v>331</v>
      </c>
      <c r="C5" s="100"/>
      <c r="D5" s="100"/>
      <c r="E5" s="100"/>
      <c r="F5" s="104"/>
      <c r="H5" s="191" t="s">
        <v>541</v>
      </c>
      <c r="L5" s="19"/>
      <c r="N5" s="99" t="s">
        <v>331</v>
      </c>
      <c r="O5" s="100"/>
      <c r="P5" s="100"/>
      <c r="Q5" s="100"/>
      <c r="R5" s="104"/>
      <c r="T5" s="192" t="str">
        <f>N5</f>
        <v>Revenues:</v>
      </c>
      <c r="V5" s="19"/>
    </row>
    <row r="6" spans="2:22" x14ac:dyDescent="0.25">
      <c r="B6" s="109" t="s">
        <v>332</v>
      </c>
      <c r="C6" s="193">
        <v>10680</v>
      </c>
      <c r="D6" s="193">
        <v>11521</v>
      </c>
      <c r="E6" s="194">
        <v>-7.0000000000000007E-2</v>
      </c>
      <c r="F6" s="195">
        <v>-0.06</v>
      </c>
      <c r="H6" s="196" t="s">
        <v>308</v>
      </c>
      <c r="I6" s="4">
        <v>8</v>
      </c>
      <c r="J6" s="4">
        <v>17</v>
      </c>
      <c r="K6" s="197">
        <v>-0.53</v>
      </c>
      <c r="L6" s="198">
        <v>-0.53</v>
      </c>
      <c r="N6" s="109" t="s">
        <v>332</v>
      </c>
      <c r="O6" s="193">
        <v>9022</v>
      </c>
      <c r="P6" s="193">
        <v>8703</v>
      </c>
      <c r="Q6" s="194">
        <v>0.04</v>
      </c>
      <c r="R6" s="195">
        <v>0.05</v>
      </c>
      <c r="T6" s="8" t="str">
        <f>N6</f>
        <v>Distribution</v>
      </c>
      <c r="U6" s="121">
        <f t="shared" ref="U6:V10" si="0">O6</f>
        <v>9022</v>
      </c>
      <c r="V6" s="199">
        <f t="shared" si="0"/>
        <v>8703</v>
      </c>
    </row>
    <row r="7" spans="2:22" x14ac:dyDescent="0.25">
      <c r="B7" s="109" t="s">
        <v>333</v>
      </c>
      <c r="C7" s="193">
        <v>7306</v>
      </c>
      <c r="D7" s="193">
        <v>8342</v>
      </c>
      <c r="E7" s="194">
        <v>-0.12</v>
      </c>
      <c r="F7" s="195">
        <v>-0.12</v>
      </c>
      <c r="H7" s="196" t="s">
        <v>309</v>
      </c>
      <c r="I7" s="4">
        <v>5</v>
      </c>
      <c r="J7" s="4">
        <v>15</v>
      </c>
      <c r="K7" s="197">
        <v>-0.67</v>
      </c>
      <c r="L7" s="198">
        <v>-0.67</v>
      </c>
      <c r="N7" s="109" t="s">
        <v>333</v>
      </c>
      <c r="O7" s="100">
        <v>855</v>
      </c>
      <c r="P7" s="100">
        <v>548</v>
      </c>
      <c r="Q7" s="194">
        <v>0.56000000000000005</v>
      </c>
      <c r="R7" s="195">
        <v>0.56999999999999995</v>
      </c>
      <c r="T7" s="8" t="str">
        <f>N7</f>
        <v>Advertising</v>
      </c>
      <c r="U7" s="121">
        <f t="shared" si="0"/>
        <v>855</v>
      </c>
      <c r="V7" s="199">
        <f t="shared" si="0"/>
        <v>548</v>
      </c>
    </row>
    <row r="8" spans="2:22" x14ac:dyDescent="0.25">
      <c r="B8" s="109" t="s">
        <v>334</v>
      </c>
      <c r="C8" s="193">
        <v>1848</v>
      </c>
      <c r="D8" s="193">
        <v>1005</v>
      </c>
      <c r="E8" s="194">
        <v>0.84</v>
      </c>
      <c r="F8" s="195">
        <v>0.83</v>
      </c>
      <c r="H8" s="196" t="s">
        <v>310</v>
      </c>
      <c r="I8" s="28">
        <v>10717</v>
      </c>
      <c r="J8" s="28">
        <v>11358</v>
      </c>
      <c r="K8" s="197">
        <v>-0.06</v>
      </c>
      <c r="L8" s="198">
        <v>-0.05</v>
      </c>
      <c r="N8" s="109" t="s">
        <v>334</v>
      </c>
      <c r="O8" s="100">
        <v>428</v>
      </c>
      <c r="P8" s="100">
        <v>886</v>
      </c>
      <c r="Q8" s="194">
        <v>-0.52</v>
      </c>
      <c r="R8" s="195">
        <v>-0.51</v>
      </c>
      <c r="T8" s="8" t="str">
        <f>N8</f>
        <v>Content</v>
      </c>
      <c r="U8" s="121">
        <f t="shared" si="0"/>
        <v>428</v>
      </c>
      <c r="V8" s="199">
        <f t="shared" si="0"/>
        <v>886</v>
      </c>
    </row>
    <row r="9" spans="2:22" x14ac:dyDescent="0.25">
      <c r="B9" s="109" t="s">
        <v>335</v>
      </c>
      <c r="C9" s="100">
        <v>341</v>
      </c>
      <c r="D9" s="100">
        <v>376</v>
      </c>
      <c r="E9" s="194">
        <v>-0.09</v>
      </c>
      <c r="F9" s="195">
        <v>-0.1</v>
      </c>
      <c r="H9" s="196" t="s">
        <v>311</v>
      </c>
      <c r="I9" s="4">
        <v>877</v>
      </c>
      <c r="J9" s="4">
        <v>802</v>
      </c>
      <c r="K9" s="197">
        <v>0.09</v>
      </c>
      <c r="L9" s="198">
        <v>0.09</v>
      </c>
      <c r="N9" s="109" t="s">
        <v>335</v>
      </c>
      <c r="O9" s="100">
        <v>8</v>
      </c>
      <c r="P9" s="100">
        <v>17</v>
      </c>
      <c r="Q9" s="194">
        <v>-0.53</v>
      </c>
      <c r="R9" s="195">
        <v>-0.5</v>
      </c>
      <c r="T9" s="8" t="str">
        <f>N9</f>
        <v>Other</v>
      </c>
      <c r="U9" s="121">
        <f t="shared" si="0"/>
        <v>8</v>
      </c>
      <c r="V9" s="199">
        <f t="shared" si="0"/>
        <v>17</v>
      </c>
    </row>
    <row r="10" spans="2:22" ht="18" customHeight="1" x14ac:dyDescent="0.25">
      <c r="B10" s="99" t="s">
        <v>336</v>
      </c>
      <c r="C10" s="193">
        <v>20175</v>
      </c>
      <c r="D10" s="193">
        <v>21244</v>
      </c>
      <c r="E10" s="194">
        <v>-0.05</v>
      </c>
      <c r="F10" s="195">
        <v>-0.04</v>
      </c>
      <c r="H10" s="196" t="s">
        <v>312</v>
      </c>
      <c r="I10" s="28">
        <v>11607</v>
      </c>
      <c r="J10" s="28">
        <v>12192</v>
      </c>
      <c r="K10" s="197">
        <v>-0.05</v>
      </c>
      <c r="L10" s="198">
        <v>-0.05</v>
      </c>
      <c r="N10" s="99" t="s">
        <v>336</v>
      </c>
      <c r="O10" s="193">
        <v>10313</v>
      </c>
      <c r="P10" s="193">
        <v>10154</v>
      </c>
      <c r="Q10" s="194">
        <v>0.02</v>
      </c>
      <c r="R10" s="195">
        <v>0.02</v>
      </c>
      <c r="T10" s="151" t="s">
        <v>373</v>
      </c>
      <c r="U10" s="200">
        <f t="shared" si="0"/>
        <v>10313</v>
      </c>
      <c r="V10" s="201">
        <f t="shared" si="0"/>
        <v>10154</v>
      </c>
    </row>
    <row r="11" spans="2:22" ht="66.75" customHeight="1" x14ac:dyDescent="0.25">
      <c r="B11" s="109" t="s">
        <v>337</v>
      </c>
      <c r="C11" s="193">
        <v>9238</v>
      </c>
      <c r="D11" s="193">
        <v>9342</v>
      </c>
      <c r="E11" s="194">
        <v>-0.01</v>
      </c>
      <c r="F11" s="104" t="s">
        <v>338</v>
      </c>
      <c r="H11" s="196" t="s">
        <v>313</v>
      </c>
      <c r="I11" s="28">
        <v>7530</v>
      </c>
      <c r="J11" s="28">
        <v>7296</v>
      </c>
      <c r="K11" s="197">
        <v>0.03</v>
      </c>
      <c r="L11" s="198">
        <v>0.03</v>
      </c>
      <c r="N11" s="109" t="s">
        <v>337</v>
      </c>
      <c r="O11" s="193">
        <v>7459</v>
      </c>
      <c r="P11" s="193">
        <v>7623</v>
      </c>
      <c r="Q11" s="194">
        <v>-0.02</v>
      </c>
      <c r="R11" s="195">
        <v>-0.02</v>
      </c>
      <c r="T11" s="8" t="s">
        <v>374</v>
      </c>
      <c r="U11" s="121"/>
      <c r="V11" s="199"/>
    </row>
    <row r="12" spans="2:22" ht="47.25" customHeight="1" x14ac:dyDescent="0.25">
      <c r="B12" s="109" t="s">
        <v>339</v>
      </c>
      <c r="C12" s="193">
        <v>2788</v>
      </c>
      <c r="D12" s="193">
        <v>2839</v>
      </c>
      <c r="E12" s="194">
        <v>-0.02</v>
      </c>
      <c r="F12" s="195">
        <v>-0.01</v>
      </c>
      <c r="H12" s="196" t="s">
        <v>314</v>
      </c>
      <c r="I12" s="28">
        <v>2425</v>
      </c>
      <c r="J12" s="28">
        <v>2713</v>
      </c>
      <c r="K12" s="197">
        <v>-0.11</v>
      </c>
      <c r="L12" s="198">
        <v>-0.11</v>
      </c>
      <c r="N12" s="109" t="s">
        <v>339</v>
      </c>
      <c r="O12" s="193">
        <v>2177</v>
      </c>
      <c r="P12" s="193">
        <v>2428</v>
      </c>
      <c r="Q12" s="194">
        <v>-0.1</v>
      </c>
      <c r="R12" s="195">
        <v>-0.09</v>
      </c>
      <c r="T12" s="8" t="str">
        <f t="shared" ref="T12:V15" si="1">H6</f>
        <v xml:space="preserve"> Distribution                                                   </v>
      </c>
      <c r="U12" s="121">
        <f t="shared" si="1"/>
        <v>8</v>
      </c>
      <c r="V12" s="199">
        <f t="shared" si="1"/>
        <v>17</v>
      </c>
    </row>
    <row r="13" spans="2:22" ht="16.5" customHeight="1" x14ac:dyDescent="0.25">
      <c r="B13" s="99" t="s">
        <v>340</v>
      </c>
      <c r="C13" s="193">
        <v>8149</v>
      </c>
      <c r="D13" s="193">
        <v>9063</v>
      </c>
      <c r="E13" s="194">
        <v>-0.1</v>
      </c>
      <c r="F13" s="195">
        <v>-0.1</v>
      </c>
      <c r="H13" s="196" t="s">
        <v>315</v>
      </c>
      <c r="I13" s="28">
        <v>1652</v>
      </c>
      <c r="J13" s="28">
        <v>2183</v>
      </c>
      <c r="K13" s="197">
        <v>-0.24</v>
      </c>
      <c r="L13" s="198">
        <v>-0.23</v>
      </c>
      <c r="N13" s="99" t="s">
        <v>340</v>
      </c>
      <c r="O13" s="100">
        <v>677</v>
      </c>
      <c r="P13" s="100">
        <v>103</v>
      </c>
      <c r="Q13" s="100" t="s">
        <v>349</v>
      </c>
      <c r="R13" s="104" t="s">
        <v>349</v>
      </c>
      <c r="T13" s="8" t="str">
        <f t="shared" si="1"/>
        <v xml:space="preserve"> Advertising                                                    </v>
      </c>
      <c r="U13" s="121">
        <f t="shared" si="1"/>
        <v>5</v>
      </c>
      <c r="V13" s="199">
        <f t="shared" si="1"/>
        <v>15</v>
      </c>
    </row>
    <row r="14" spans="2:22" ht="38.25" customHeight="1" x14ac:dyDescent="0.25">
      <c r="B14" s="109" t="s">
        <v>341</v>
      </c>
      <c r="C14" s="193">
        <v>4172</v>
      </c>
      <c r="D14" s="193">
        <v>4961</v>
      </c>
      <c r="E14" s="100"/>
      <c r="F14" s="104"/>
      <c r="H14" s="196" t="s">
        <v>316</v>
      </c>
      <c r="I14" s="4">
        <v>702</v>
      </c>
      <c r="J14" s="4">
        <v>667</v>
      </c>
      <c r="K14" s="4" t="s">
        <v>317</v>
      </c>
      <c r="L14" s="19" t="s">
        <v>318</v>
      </c>
      <c r="N14" s="109" t="s">
        <v>341</v>
      </c>
      <c r="O14" s="193">
        <v>1831</v>
      </c>
      <c r="P14" s="193">
        <v>2063</v>
      </c>
      <c r="Q14" s="100"/>
      <c r="R14" s="104"/>
      <c r="T14" s="8" t="str">
        <f t="shared" si="1"/>
        <v xml:space="preserve"> Content                                                        </v>
      </c>
      <c r="U14" s="121">
        <f t="shared" si="1"/>
        <v>10717</v>
      </c>
      <c r="V14" s="199">
        <f t="shared" si="1"/>
        <v>11358</v>
      </c>
    </row>
    <row r="15" spans="2:22" ht="41.25" customHeight="1" x14ac:dyDescent="0.25">
      <c r="B15" s="109" t="s">
        <v>342</v>
      </c>
      <c r="C15" s="100">
        <v>85</v>
      </c>
      <c r="D15" s="100">
        <v>201</v>
      </c>
      <c r="E15" s="100"/>
      <c r="F15" s="104"/>
      <c r="H15" s="196" t="s">
        <v>319</v>
      </c>
      <c r="I15" s="4">
        <v>-1</v>
      </c>
      <c r="J15" s="4" t="s">
        <v>320</v>
      </c>
      <c r="K15" s="4" t="s">
        <v>317</v>
      </c>
      <c r="L15" s="19" t="s">
        <v>318</v>
      </c>
      <c r="N15" s="109" t="s">
        <v>342</v>
      </c>
      <c r="O15" s="100">
        <v>3</v>
      </c>
      <c r="P15" s="100">
        <v>66</v>
      </c>
      <c r="Q15" s="100"/>
      <c r="R15" s="104"/>
      <c r="T15" s="8" t="str">
        <f t="shared" si="1"/>
        <v xml:space="preserve"> Other                                                          </v>
      </c>
      <c r="U15" s="121">
        <f t="shared" si="1"/>
        <v>877</v>
      </c>
      <c r="V15" s="199">
        <f t="shared" si="1"/>
        <v>802</v>
      </c>
    </row>
    <row r="16" spans="2:22" ht="38.25" customHeight="1" x14ac:dyDescent="0.25">
      <c r="B16" s="109" t="s">
        <v>343</v>
      </c>
      <c r="C16" s="100">
        <v>2</v>
      </c>
      <c r="D16" s="100">
        <v>3</v>
      </c>
      <c r="E16" s="100"/>
      <c r="F16" s="104"/>
      <c r="H16" s="196" t="s">
        <v>321</v>
      </c>
      <c r="I16" s="4">
        <v>263</v>
      </c>
      <c r="J16" s="4">
        <v>225</v>
      </c>
      <c r="K16" s="4" t="s">
        <v>317</v>
      </c>
      <c r="L16" s="19" t="s">
        <v>318</v>
      </c>
      <c r="N16" s="109" t="s">
        <v>343</v>
      </c>
      <c r="O16" s="100">
        <v>-1</v>
      </c>
      <c r="P16" s="100">
        <v>4</v>
      </c>
      <c r="Q16" s="100"/>
      <c r="R16" s="104"/>
      <c r="T16" s="151" t="s">
        <v>375</v>
      </c>
      <c r="U16" s="200">
        <f>I10</f>
        <v>11607</v>
      </c>
      <c r="V16" s="201">
        <f>J10</f>
        <v>12192</v>
      </c>
    </row>
    <row r="17" spans="2:22" ht="42" customHeight="1" x14ac:dyDescent="0.25">
      <c r="B17" s="109" t="s">
        <v>344</v>
      </c>
      <c r="C17" s="100">
        <v>495</v>
      </c>
      <c r="D17" s="100">
        <v>473</v>
      </c>
      <c r="E17" s="100"/>
      <c r="F17" s="104"/>
      <c r="H17" s="196" t="s">
        <v>322</v>
      </c>
      <c r="I17" s="4">
        <v>2</v>
      </c>
      <c r="J17" s="4">
        <v>7</v>
      </c>
      <c r="K17" s="4" t="s">
        <v>317</v>
      </c>
      <c r="L17" s="19" t="s">
        <v>318</v>
      </c>
      <c r="N17" s="109" t="s">
        <v>344</v>
      </c>
      <c r="O17" s="100">
        <v>282</v>
      </c>
      <c r="P17" s="100">
        <v>460</v>
      </c>
      <c r="Q17" s="100"/>
      <c r="R17" s="104"/>
      <c r="T17" s="8"/>
      <c r="V17" s="19"/>
    </row>
    <row r="18" spans="2:22" ht="34.5" customHeight="1" x14ac:dyDescent="0.25">
      <c r="B18" s="109" t="s">
        <v>345</v>
      </c>
      <c r="C18" s="100" t="s">
        <v>346</v>
      </c>
      <c r="D18" s="100">
        <v>90</v>
      </c>
      <c r="E18" s="100"/>
      <c r="F18" s="104"/>
      <c r="H18" s="196" t="s">
        <v>323</v>
      </c>
      <c r="I18" s="4">
        <v>1</v>
      </c>
      <c r="J18" s="4" t="s">
        <v>320</v>
      </c>
      <c r="K18" s="4" t="s">
        <v>317</v>
      </c>
      <c r="L18" s="19" t="s">
        <v>318</v>
      </c>
      <c r="N18" s="109" t="s">
        <v>345</v>
      </c>
      <c r="O18" s="100" t="s">
        <v>346</v>
      </c>
      <c r="P18" s="100">
        <v>72</v>
      </c>
      <c r="Q18" s="100"/>
      <c r="R18" s="104"/>
      <c r="T18" s="13" t="s">
        <v>370</v>
      </c>
      <c r="U18" s="30">
        <f>U16+U10</f>
        <v>21920</v>
      </c>
      <c r="V18" s="31">
        <f>V16+V10</f>
        <v>22346</v>
      </c>
    </row>
    <row r="19" spans="2:22" ht="39" x14ac:dyDescent="0.25">
      <c r="B19" s="109" t="s">
        <v>347</v>
      </c>
      <c r="C19" s="193">
        <v>9154</v>
      </c>
      <c r="D19" s="100">
        <v>13</v>
      </c>
      <c r="E19" s="100"/>
      <c r="F19" s="104"/>
      <c r="H19" s="196" t="s">
        <v>324</v>
      </c>
      <c r="I19" s="4">
        <v>96</v>
      </c>
      <c r="J19" s="4">
        <v>995</v>
      </c>
      <c r="K19" s="4" t="s">
        <v>317</v>
      </c>
      <c r="L19" s="19" t="s">
        <v>318</v>
      </c>
      <c r="N19" s="109" t="s">
        <v>347</v>
      </c>
      <c r="O19" s="100">
        <v>47</v>
      </c>
      <c r="P19" s="100">
        <v>3</v>
      </c>
      <c r="Q19" s="100"/>
      <c r="R19" s="104"/>
      <c r="T19" s="196" t="str">
        <f>N11</f>
        <v>Costs of revenues, excluding depreciation and amortization</v>
      </c>
      <c r="U19" s="28">
        <f>O11+I11</f>
        <v>14989</v>
      </c>
      <c r="V19" s="29">
        <f>P11+J11</f>
        <v>14919</v>
      </c>
    </row>
    <row r="20" spans="2:22" ht="26.25" x14ac:dyDescent="0.25">
      <c r="B20" s="219" t="s">
        <v>348</v>
      </c>
      <c r="C20" s="223">
        <v>-5759</v>
      </c>
      <c r="D20" s="223">
        <v>3322</v>
      </c>
      <c r="E20" s="221"/>
      <c r="F20" s="222"/>
      <c r="H20" s="196" t="s">
        <v>325</v>
      </c>
      <c r="I20" s="4">
        <v>46</v>
      </c>
      <c r="J20" s="4">
        <v>46</v>
      </c>
      <c r="K20" s="4" t="s">
        <v>317</v>
      </c>
      <c r="L20" s="19" t="s">
        <v>318</v>
      </c>
      <c r="N20" s="219" t="s">
        <v>350</v>
      </c>
      <c r="O20" s="220">
        <v>-1485</v>
      </c>
      <c r="P20" s="220">
        <v>-2565</v>
      </c>
      <c r="Q20" s="221"/>
      <c r="R20" s="222"/>
      <c r="T20" s="196" t="str">
        <f>N12</f>
        <v>Selling, general and administrative</v>
      </c>
      <c r="U20" s="28">
        <f>O12+I12</f>
        <v>4602</v>
      </c>
      <c r="V20" s="29">
        <f>P12+J12</f>
        <v>5141</v>
      </c>
    </row>
    <row r="21" spans="2:22" x14ac:dyDescent="0.25">
      <c r="H21" s="196" t="s">
        <v>326</v>
      </c>
      <c r="I21" s="4" t="s">
        <v>320</v>
      </c>
      <c r="J21" s="4">
        <v>31</v>
      </c>
      <c r="K21" s="4" t="s">
        <v>317</v>
      </c>
      <c r="L21" s="19" t="s">
        <v>318</v>
      </c>
      <c r="T21" s="8"/>
      <c r="V21" s="19"/>
    </row>
    <row r="22" spans="2:22" ht="26.25" x14ac:dyDescent="0.25">
      <c r="H22" s="196" t="s">
        <v>327</v>
      </c>
      <c r="I22" s="4">
        <v>14</v>
      </c>
      <c r="J22" s="4">
        <v>1</v>
      </c>
      <c r="K22" s="4" t="s">
        <v>317</v>
      </c>
      <c r="L22" s="19" t="s">
        <v>318</v>
      </c>
      <c r="T22" s="202" t="str">
        <f>N13</f>
        <v>Adjusted EBITDA</v>
      </c>
      <c r="U22" s="203">
        <f>U18-U19-U20</f>
        <v>2329</v>
      </c>
      <c r="V22" s="204">
        <f>V18-V19-V20</f>
        <v>2286</v>
      </c>
    </row>
    <row r="23" spans="2:22" ht="26.25" x14ac:dyDescent="0.25">
      <c r="H23" s="202" t="s">
        <v>328</v>
      </c>
      <c r="I23" s="167">
        <v>529</v>
      </c>
      <c r="J23" s="167">
        <v>211</v>
      </c>
      <c r="K23" s="167" t="s">
        <v>317</v>
      </c>
      <c r="L23" s="168" t="s">
        <v>318</v>
      </c>
      <c r="T23" s="196" t="str">
        <f>N14</f>
        <v>Depreciation and amortization</v>
      </c>
      <c r="U23" s="28">
        <f>O14+I14</f>
        <v>2533</v>
      </c>
      <c r="V23" s="29">
        <f>P14+J14</f>
        <v>2730</v>
      </c>
    </row>
    <row r="24" spans="2:22" ht="26.25" x14ac:dyDescent="0.25">
      <c r="T24" s="196" t="str">
        <f>N15</f>
        <v>Restructuring and other charges</v>
      </c>
      <c r="U24" s="28">
        <f>O15+I16</f>
        <v>266</v>
      </c>
      <c r="V24" s="29">
        <f>P15+J16</f>
        <v>291</v>
      </c>
    </row>
    <row r="25" spans="2:22" ht="26.25" x14ac:dyDescent="0.25">
      <c r="T25" s="196" t="str">
        <f>N16</f>
        <v>Transaction and integration costs</v>
      </c>
      <c r="U25" s="28">
        <f>O16+I17</f>
        <v>1</v>
      </c>
      <c r="V25" s="29">
        <f>P16+J17</f>
        <v>11</v>
      </c>
    </row>
    <row r="26" spans="2:22" ht="39" x14ac:dyDescent="0.25">
      <c r="T26" s="196" t="str">
        <f>N17</f>
        <v>Impairment and amortization of fair value step-up for content</v>
      </c>
      <c r="U26" s="28">
        <f>O17+I19</f>
        <v>378</v>
      </c>
      <c r="V26" s="29">
        <f>P17+J19</f>
        <v>1455</v>
      </c>
    </row>
    <row r="27" spans="2:22" ht="39" x14ac:dyDescent="0.25">
      <c r="T27" s="196" t="str">
        <f>H20</f>
        <v xml:space="preserve"> Amortization of capitalized interest for content               </v>
      </c>
      <c r="U27" s="4">
        <f>I20</f>
        <v>46</v>
      </c>
      <c r="V27" s="19">
        <f>J20</f>
        <v>46</v>
      </c>
    </row>
    <row r="28" spans="2:22" ht="26.25" x14ac:dyDescent="0.25">
      <c r="T28" s="196" t="str">
        <f>N18</f>
        <v>Inter-segment eliminations</v>
      </c>
      <c r="U28" s="28" t="str">
        <f>I21</f>
        <v xml:space="preserve"> –      </v>
      </c>
      <c r="V28" s="29">
        <f>P18+J21</f>
        <v>103</v>
      </c>
    </row>
    <row r="29" spans="2:22" ht="26.25" x14ac:dyDescent="0.25">
      <c r="T29" s="196" t="str">
        <f>N19</f>
        <v>Impairments and loss on dispositions</v>
      </c>
      <c r="U29" s="28">
        <f>O19+I22</f>
        <v>61</v>
      </c>
      <c r="V29" s="29">
        <f>P19+J22</f>
        <v>4</v>
      </c>
    </row>
    <row r="30" spans="2:22" x14ac:dyDescent="0.25">
      <c r="T30" s="170" t="s">
        <v>371</v>
      </c>
      <c r="U30" s="205">
        <f>U22-SUM(U23:U29)</f>
        <v>-956</v>
      </c>
      <c r="V30" s="174">
        <f>V22-SUM(V23:V29)</f>
        <v>-2354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B940-ABC2-4087-AA62-6575EA4006DF}">
  <dimension ref="B1:V53"/>
  <sheetViews>
    <sheetView showGridLines="0" tabSelected="1" zoomScale="115" zoomScaleNormal="115" workbookViewId="0">
      <selection activeCell="H16" sqref="H16"/>
    </sheetView>
  </sheetViews>
  <sheetFormatPr defaultRowHeight="12.75" x14ac:dyDescent="0.2"/>
  <cols>
    <col min="1" max="1" width="9.140625" style="4"/>
    <col min="2" max="2" width="25" style="4" bestFit="1" customWidth="1"/>
    <col min="3" max="3" width="12" style="4" hidden="1" customWidth="1"/>
    <col min="4" max="4" width="24" style="4" bestFit="1" customWidth="1"/>
    <col min="5" max="5" width="22.42578125" style="4" bestFit="1" customWidth="1"/>
    <col min="6" max="6" width="0" style="4" hidden="1" customWidth="1"/>
    <col min="7" max="7" width="12.28515625" style="4" hidden="1" customWidth="1"/>
    <col min="8" max="8" width="6.140625" style="4" bestFit="1" customWidth="1"/>
    <col min="9" max="9" width="4.7109375" style="4" customWidth="1"/>
    <col min="10" max="10" width="56.140625" style="4" bestFit="1" customWidth="1"/>
    <col min="11" max="11" width="21.140625" style="4" bestFit="1" customWidth="1"/>
    <col min="12" max="12" width="11.5703125" style="4" customWidth="1"/>
    <col min="13" max="13" width="13.5703125" style="4" customWidth="1"/>
    <col min="14" max="14" width="6" style="4" customWidth="1"/>
    <col min="15" max="15" width="31.42578125" style="4" customWidth="1"/>
    <col min="16" max="16" width="15.85546875" style="4" bestFit="1" customWidth="1"/>
    <col min="17" max="17" width="29.7109375" style="4" bestFit="1" customWidth="1"/>
    <col min="18" max="18" width="12.5703125" style="4" bestFit="1" customWidth="1"/>
    <col min="19" max="19" width="36.140625" style="4" customWidth="1"/>
    <col min="20" max="20" width="4.5703125" style="4" customWidth="1"/>
    <col min="21" max="21" width="34" style="4" bestFit="1" customWidth="1"/>
    <col min="22" max="23" width="11.140625" style="4" bestFit="1" customWidth="1"/>
    <col min="24" max="25" width="9.140625" style="4"/>
    <col min="26" max="26" width="25" style="4" bestFit="1" customWidth="1"/>
    <col min="27" max="27" width="25" style="4" customWidth="1"/>
    <col min="28" max="28" width="19.7109375" style="4" bestFit="1" customWidth="1"/>
    <col min="29" max="29" width="9.140625" style="4"/>
    <col min="30" max="31" width="9.140625" style="4" customWidth="1"/>
    <col min="32" max="16384" width="9.140625" style="4"/>
  </cols>
  <sheetData>
    <row r="1" spans="2:22" s="2" customFormat="1" ht="15" x14ac:dyDescent="0.25"/>
    <row r="2" spans="2:22" s="2" customFormat="1" ht="26.25" x14ac:dyDescent="0.25">
      <c r="B2" s="1" t="s">
        <v>535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s="2" customFormat="1" ht="15.75" x14ac:dyDescent="0.25">
      <c r="B3" s="241" t="s">
        <v>558</v>
      </c>
      <c r="C3" s="242">
        <v>2</v>
      </c>
      <c r="D3" s="239"/>
      <c r="E3" s="239"/>
      <c r="F3" s="239"/>
      <c r="G3" s="239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2:22" ht="7.5" customHeight="1" x14ac:dyDescent="0.2"/>
    <row r="5" spans="2:22" x14ac:dyDescent="0.2">
      <c r="B5" s="5" t="s">
        <v>377</v>
      </c>
      <c r="C5" s="6" t="s">
        <v>376</v>
      </c>
      <c r="D5" s="6" t="s">
        <v>11</v>
      </c>
      <c r="E5" s="6" t="s">
        <v>25</v>
      </c>
      <c r="F5" s="6" t="s">
        <v>10</v>
      </c>
      <c r="G5" s="7" t="s">
        <v>19</v>
      </c>
    </row>
    <row r="6" spans="2:22" x14ac:dyDescent="0.2">
      <c r="B6" s="8" t="s">
        <v>12</v>
      </c>
      <c r="C6" s="246">
        <f>(_xlfn.XLOOKUP(F6,$D$14:$D$18,$E$14:$E$18))*D6</f>
        <v>6760</v>
      </c>
      <c r="D6" s="121">
        <v>5200</v>
      </c>
      <c r="E6" s="4" t="s">
        <v>13</v>
      </c>
      <c r="F6" s="4">
        <v>4</v>
      </c>
      <c r="G6" s="19" t="s">
        <v>20</v>
      </c>
    </row>
    <row r="7" spans="2:22" x14ac:dyDescent="0.2">
      <c r="B7" s="8" t="s">
        <v>14</v>
      </c>
      <c r="C7" s="246">
        <f>(_xlfn.XLOOKUP(F7,$D$14:$D$18,$E$14:$E$18))*D7</f>
        <v>2050</v>
      </c>
      <c r="D7" s="121">
        <v>4100</v>
      </c>
      <c r="E7" s="4" t="s">
        <v>15</v>
      </c>
      <c r="F7" s="4">
        <v>2</v>
      </c>
      <c r="G7" s="19" t="s">
        <v>21</v>
      </c>
    </row>
    <row r="8" spans="2:22" x14ac:dyDescent="0.2">
      <c r="B8" s="8" t="s">
        <v>16</v>
      </c>
      <c r="C8" s="246">
        <f>(_xlfn.XLOOKUP(F8,$D$14:$D$18,$E$14:$E$18))*D8</f>
        <v>1560</v>
      </c>
      <c r="D8" s="121">
        <v>1200</v>
      </c>
      <c r="E8" s="4" t="s">
        <v>17</v>
      </c>
      <c r="F8" s="4">
        <v>4</v>
      </c>
      <c r="G8" s="19" t="s">
        <v>23</v>
      </c>
    </row>
    <row r="9" spans="2:22" x14ac:dyDescent="0.2">
      <c r="B9" s="8" t="s">
        <v>22</v>
      </c>
      <c r="C9" s="246">
        <f>(_xlfn.XLOOKUP(F9,$D$14:$D$18,$E$14:$E$18))*D9</f>
        <v>110</v>
      </c>
      <c r="D9" s="121">
        <v>1100</v>
      </c>
      <c r="E9" s="268">
        <v>0.08</v>
      </c>
      <c r="F9" s="4">
        <v>1</v>
      </c>
      <c r="G9" s="19" t="s">
        <v>24</v>
      </c>
    </row>
    <row r="10" spans="2:22" x14ac:dyDescent="0.2">
      <c r="B10" s="8" t="s">
        <v>18</v>
      </c>
      <c r="C10" s="246">
        <f>SUM(C6:C9)</f>
        <v>10480</v>
      </c>
      <c r="D10" s="121">
        <v>11600</v>
      </c>
      <c r="F10" s="247">
        <f>C10/D10*3</f>
        <v>2.7103448275862068</v>
      </c>
      <c r="G10" s="19"/>
    </row>
    <row r="11" spans="2:22" ht="15" customHeight="1" x14ac:dyDescent="0.2">
      <c r="B11" s="8"/>
      <c r="C11" s="246"/>
      <c r="D11" s="121"/>
      <c r="F11" s="247"/>
      <c r="G11" s="19"/>
    </row>
    <row r="12" spans="2:22" ht="7.5" customHeight="1" x14ac:dyDescent="0.2">
      <c r="B12" s="8"/>
      <c r="D12" s="225"/>
      <c r="E12" s="225"/>
      <c r="F12" s="225"/>
      <c r="G12" s="243"/>
    </row>
    <row r="13" spans="2:22" ht="19.5" customHeight="1" x14ac:dyDescent="0.2">
      <c r="B13" s="8"/>
      <c r="D13" s="124" t="s">
        <v>414</v>
      </c>
      <c r="E13" s="126" t="s">
        <v>518</v>
      </c>
      <c r="F13" s="263" t="s">
        <v>573</v>
      </c>
      <c r="G13" s="264"/>
      <c r="J13" s="122" t="s">
        <v>369</v>
      </c>
      <c r="K13" s="123" t="s">
        <v>368</v>
      </c>
      <c r="L13" s="21">
        <v>2024</v>
      </c>
      <c r="M13" s="22">
        <v>2023</v>
      </c>
      <c r="O13" s="124" t="s">
        <v>519</v>
      </c>
      <c r="P13" s="125" t="s">
        <v>418</v>
      </c>
      <c r="Q13" s="125" t="s">
        <v>383</v>
      </c>
      <c r="R13" s="126" t="s">
        <v>381</v>
      </c>
    </row>
    <row r="14" spans="2:22" ht="17.25" customHeight="1" x14ac:dyDescent="0.2">
      <c r="B14" s="8"/>
      <c r="D14" s="127">
        <v>1</v>
      </c>
      <c r="E14" s="128">
        <f>CHOOSE($C$3,D33,E33,F33)</f>
        <v>0.1</v>
      </c>
      <c r="F14" s="265"/>
      <c r="G14" s="264"/>
      <c r="J14" s="8" t="s">
        <v>331</v>
      </c>
      <c r="M14" s="19"/>
      <c r="O14" s="8"/>
      <c r="P14" s="4" t="s">
        <v>380</v>
      </c>
      <c r="Q14" s="4" t="s">
        <v>379</v>
      </c>
      <c r="R14" s="19"/>
    </row>
    <row r="15" spans="2:22" ht="18" customHeight="1" x14ac:dyDescent="0.2">
      <c r="B15" s="8"/>
      <c r="D15" s="127">
        <v>2</v>
      </c>
      <c r="E15" s="128">
        <f>CHOOSE($C$3,D34,E34,F34)</f>
        <v>0.5</v>
      </c>
      <c r="F15" s="265"/>
      <c r="G15" s="264"/>
      <c r="J15" s="8" t="s">
        <v>332</v>
      </c>
      <c r="L15" s="4">
        <v>9022</v>
      </c>
      <c r="M15" s="19">
        <v>8703</v>
      </c>
      <c r="O15" s="129" t="s">
        <v>517</v>
      </c>
      <c r="P15" s="130">
        <f t="shared" ref="P15:P21" si="0">Q15+R15</f>
        <v>70359.587</v>
      </c>
      <c r="Q15" s="131">
        <f>'NFLX IS'!C6</f>
        <v>43378.786999999997</v>
      </c>
      <c r="R15" s="132">
        <f>K28</f>
        <v>26980.799999999999</v>
      </c>
    </row>
    <row r="16" spans="2:22" ht="16.5" customHeight="1" x14ac:dyDescent="0.2">
      <c r="B16" s="8"/>
      <c r="D16" s="127">
        <v>3</v>
      </c>
      <c r="E16" s="128">
        <f>CHOOSE($C$3,D35,E35,F35)</f>
        <v>1</v>
      </c>
      <c r="F16" s="265"/>
      <c r="G16" s="264"/>
      <c r="J16" s="8" t="s">
        <v>333</v>
      </c>
      <c r="L16" s="4">
        <v>855</v>
      </c>
      <c r="M16" s="19">
        <v>548</v>
      </c>
      <c r="O16" s="16" t="str">
        <f>'NFLX IS'!B8</f>
        <v xml:space="preserve">    Cost of Revenue</v>
      </c>
      <c r="P16" s="133">
        <f t="shared" si="0"/>
        <v>-36759.622000000003</v>
      </c>
      <c r="Q16" s="134">
        <f>'NFLX IS'!C8</f>
        <v>-22520.072</v>
      </c>
      <c r="R16" s="135">
        <f>-K29</f>
        <v>-14239.55</v>
      </c>
    </row>
    <row r="17" spans="2:22" ht="18" customHeight="1" x14ac:dyDescent="0.2">
      <c r="B17" s="8"/>
      <c r="D17" s="127">
        <v>4</v>
      </c>
      <c r="E17" s="128">
        <f>CHOOSE($C$3,D36,E36,F36)</f>
        <v>1.3</v>
      </c>
      <c r="F17" s="265"/>
      <c r="G17" s="264"/>
      <c r="J17" s="8" t="s">
        <v>334</v>
      </c>
      <c r="L17" s="4">
        <v>428</v>
      </c>
      <c r="M17" s="19">
        <v>886</v>
      </c>
      <c r="O17" s="136" t="s">
        <v>516</v>
      </c>
      <c r="P17" s="137">
        <f>P15+P16</f>
        <v>33599.964999999997</v>
      </c>
      <c r="Q17" s="137">
        <f>Q15+Q16</f>
        <v>20858.714999999997</v>
      </c>
      <c r="R17" s="138"/>
    </row>
    <row r="18" spans="2:22" x14ac:dyDescent="0.2">
      <c r="B18" s="16"/>
      <c r="C18" s="139"/>
      <c r="D18" s="140">
        <v>5</v>
      </c>
      <c r="E18" s="141">
        <f>CHOOSE($C$3,D37,E37,F37)</f>
        <v>1.6</v>
      </c>
      <c r="F18" s="266"/>
      <c r="G18" s="267"/>
      <c r="J18" s="8" t="s">
        <v>335</v>
      </c>
      <c r="L18" s="4">
        <v>8</v>
      </c>
      <c r="M18" s="19">
        <v>17</v>
      </c>
      <c r="O18" s="8" t="str">
        <f>'NFLX IS'!B10</f>
        <v xml:space="preserve">    Selling, General and Administrative Expenses</v>
      </c>
      <c r="P18" s="130">
        <f t="shared" si="0"/>
        <v>-9080.2139999999999</v>
      </c>
      <c r="Q18" s="131">
        <f>'NFLX IS'!C10</f>
        <v>-4938.4139999999998</v>
      </c>
      <c r="R18" s="132">
        <f>-K31</f>
        <v>-4141.8</v>
      </c>
      <c r="U18" s="20" t="s">
        <v>536</v>
      </c>
      <c r="V18" s="22" t="s">
        <v>381</v>
      </c>
    </row>
    <row r="19" spans="2:22" x14ac:dyDescent="0.2">
      <c r="J19" s="13" t="s">
        <v>373</v>
      </c>
      <c r="K19" s="236">
        <f>L19*(E18)</f>
        <v>16500.8</v>
      </c>
      <c r="L19" s="143">
        <f>SUM(L15:L18)</f>
        <v>10313</v>
      </c>
      <c r="M19" s="144">
        <f>SUM(M15:M18)</f>
        <v>10154</v>
      </c>
      <c r="O19" s="8" t="str">
        <f>'NFLX IS'!B13</f>
        <v xml:space="preserve">    Research and Development Expenses</v>
      </c>
      <c r="P19" s="130">
        <f t="shared" si="0"/>
        <v>-3277.5949999999998</v>
      </c>
      <c r="Q19" s="131">
        <f>'NFLX IS'!C13</f>
        <v>-3277.5949999999998</v>
      </c>
      <c r="R19" s="132"/>
      <c r="U19" s="8"/>
      <c r="V19" s="19" t="s">
        <v>384</v>
      </c>
    </row>
    <row r="20" spans="2:22" ht="15" x14ac:dyDescent="0.25">
      <c r="B20" s="224" t="s">
        <v>547</v>
      </c>
      <c r="C20" s="239"/>
      <c r="D20" s="239"/>
      <c r="E20" s="239"/>
      <c r="F20"/>
      <c r="G20"/>
      <c r="J20" s="8"/>
      <c r="K20" s="4" t="s">
        <v>413</v>
      </c>
      <c r="M20" s="19"/>
      <c r="O20" s="8" t="str">
        <f>'WBD IS'!B12</f>
        <v xml:space="preserve">    Depreciation, Amortization and Depletion</v>
      </c>
      <c r="P20" s="130">
        <f t="shared" si="0"/>
        <v>-2279.7000000000003</v>
      </c>
      <c r="Q20" s="130"/>
      <c r="R20" s="132">
        <f>-K35</f>
        <v>-2279.7000000000003</v>
      </c>
      <c r="U20" s="8" t="s">
        <v>385</v>
      </c>
      <c r="V20" s="19">
        <f>33521</f>
        <v>33521</v>
      </c>
    </row>
    <row r="21" spans="2:22" ht="15" x14ac:dyDescent="0.25">
      <c r="B21" s="227" t="s">
        <v>548</v>
      </c>
      <c r="C21"/>
      <c r="D21" s="229" t="s">
        <v>549</v>
      </c>
      <c r="E21" s="227" t="s">
        <v>486</v>
      </c>
      <c r="F21"/>
      <c r="G21"/>
      <c r="J21" s="145" t="s">
        <v>374</v>
      </c>
      <c r="K21" s="146"/>
      <c r="L21" s="24"/>
      <c r="M21" s="25"/>
      <c r="O21" s="8" t="s">
        <v>382</v>
      </c>
      <c r="P21" s="130">
        <f t="shared" si="0"/>
        <v>-671.87</v>
      </c>
      <c r="Q21" s="130"/>
      <c r="R21" s="132">
        <f>-SUM(K37:K45)</f>
        <v>-671.87</v>
      </c>
      <c r="U21" s="8" t="s">
        <v>386</v>
      </c>
      <c r="V21" s="19">
        <f>-R24</f>
        <v>1991</v>
      </c>
    </row>
    <row r="22" spans="2:22" ht="15.75" thickBot="1" x14ac:dyDescent="0.3">
      <c r="B22" s="4" t="s">
        <v>550</v>
      </c>
      <c r="C22"/>
      <c r="D22" s="248">
        <f t="shared" ref="D22:D28" si="1">CHOOSE($C$3,D40,E40,F40)</f>
        <v>-0.05</v>
      </c>
      <c r="E22" s="231" t="s">
        <v>551</v>
      </c>
      <c r="F22"/>
      <c r="G22"/>
      <c r="J22" s="8" t="s">
        <v>308</v>
      </c>
      <c r="L22" s="4">
        <v>8</v>
      </c>
      <c r="M22" s="19">
        <v>17</v>
      </c>
      <c r="O22" s="136" t="str">
        <f>'WBD IS'!B14</f>
        <v>Total Operating Profit/Loss</v>
      </c>
      <c r="P22" s="137">
        <f>SUM(P17:P21)</f>
        <v>18290.585999999996</v>
      </c>
      <c r="Q22" s="137">
        <f>SUM(Q17:Q21)</f>
        <v>12642.705999999996</v>
      </c>
      <c r="R22" s="147">
        <f>SUM(R15:R21)</f>
        <v>5647.88</v>
      </c>
      <c r="U22" s="16" t="s">
        <v>387</v>
      </c>
      <c r="V22" s="148">
        <f>V21/V20</f>
        <v>5.9395602756481009E-2</v>
      </c>
    </row>
    <row r="23" spans="2:22" ht="26.25" x14ac:dyDescent="0.25">
      <c r="B23" s="4" t="s">
        <v>552</v>
      </c>
      <c r="C23"/>
      <c r="D23" s="248">
        <f t="shared" si="1"/>
        <v>-0.1</v>
      </c>
      <c r="E23" s="231" t="s">
        <v>551</v>
      </c>
      <c r="F23"/>
      <c r="J23" s="8" t="s">
        <v>309</v>
      </c>
      <c r="L23" s="4">
        <v>5</v>
      </c>
      <c r="M23" s="19">
        <v>15</v>
      </c>
      <c r="O23" s="8"/>
      <c r="S23" s="149" t="s">
        <v>521</v>
      </c>
      <c r="U23" s="8"/>
      <c r="V23" s="19"/>
    </row>
    <row r="24" spans="2:22" ht="51.75" x14ac:dyDescent="0.25">
      <c r="B24" s="4" t="s">
        <v>553</v>
      </c>
      <c r="C24"/>
      <c r="D24" s="248">
        <f t="shared" si="1"/>
        <v>-0.1</v>
      </c>
      <c r="E24" s="231" t="s">
        <v>551</v>
      </c>
      <c r="F24"/>
      <c r="G24"/>
      <c r="J24" s="8" t="s">
        <v>310</v>
      </c>
      <c r="L24" s="4">
        <v>10717</v>
      </c>
      <c r="M24" s="19">
        <v>11358</v>
      </c>
      <c r="O24" s="8" t="str">
        <f>'NFLX IS'!B18</f>
        <v xml:space="preserve">            Interest Expense Net of Capitalized Interest</v>
      </c>
      <c r="P24" s="38">
        <f>-V42+Q24</f>
        <v>-5072.250949494347</v>
      </c>
      <c r="Q24" s="38">
        <f>'NFLX IS'!C18</f>
        <v>-734.71799999999996</v>
      </c>
      <c r="R24" s="4">
        <f>'WBD IS'!C18</f>
        <v>-1991</v>
      </c>
      <c r="S24" s="150" t="s">
        <v>520</v>
      </c>
      <c r="U24" s="151"/>
      <c r="V24" s="152" t="s">
        <v>383</v>
      </c>
    </row>
    <row r="25" spans="2:22" ht="15" x14ac:dyDescent="0.25">
      <c r="B25" s="4" t="s">
        <v>554</v>
      </c>
      <c r="C25"/>
      <c r="D25" s="248">
        <f t="shared" si="1"/>
        <v>-0.1</v>
      </c>
      <c r="E25" s="231" t="s">
        <v>551</v>
      </c>
      <c r="F25"/>
      <c r="G25"/>
      <c r="J25" s="8" t="s">
        <v>311</v>
      </c>
      <c r="L25" s="4">
        <v>877</v>
      </c>
      <c r="M25" s="19">
        <v>802</v>
      </c>
      <c r="O25" s="8" t="str">
        <f>'NFLX IS'!B19</f>
        <v xml:space="preserve">            Interest Income</v>
      </c>
      <c r="P25" s="38">
        <f>Q25</f>
        <v>181.09100000000001</v>
      </c>
      <c r="Q25" s="38">
        <f>'NFLX IS'!C19</f>
        <v>181.09100000000001</v>
      </c>
      <c r="R25" s="4">
        <f>'WBD IS'!C19</f>
        <v>208</v>
      </c>
      <c r="S25" s="153" t="s">
        <v>388</v>
      </c>
      <c r="U25" s="8"/>
      <c r="V25" s="19" t="s">
        <v>393</v>
      </c>
    </row>
    <row r="26" spans="2:22" ht="15" x14ac:dyDescent="0.25">
      <c r="B26" s="4" t="s">
        <v>555</v>
      </c>
      <c r="C26"/>
      <c r="D26" s="248">
        <f t="shared" si="1"/>
        <v>-0.11</v>
      </c>
      <c r="E26" s="231" t="s">
        <v>551</v>
      </c>
      <c r="F26"/>
      <c r="G26"/>
      <c r="J26" s="13" t="s">
        <v>375</v>
      </c>
      <c r="K26" s="142">
        <f>C10</f>
        <v>10480</v>
      </c>
      <c r="L26" s="143">
        <f>SUM(L22:L25)</f>
        <v>11607</v>
      </c>
      <c r="M26" s="144">
        <f>SUM(M22:M25)</f>
        <v>12192</v>
      </c>
      <c r="O26" s="8"/>
      <c r="S26" s="153"/>
      <c r="U26" s="8" t="s">
        <v>385</v>
      </c>
      <c r="V26" s="19">
        <v>17083</v>
      </c>
    </row>
    <row r="27" spans="2:22" ht="15" x14ac:dyDescent="0.25">
      <c r="B27" s="4" t="s">
        <v>556</v>
      </c>
      <c r="C27"/>
      <c r="D27" s="248">
        <f t="shared" si="1"/>
        <v>-0.12</v>
      </c>
      <c r="E27" s="231" t="s">
        <v>551</v>
      </c>
      <c r="F27"/>
      <c r="G27"/>
      <c r="J27" s="8"/>
      <c r="M27" s="19"/>
      <c r="O27" s="8" t="str">
        <f>'WBD IS'!B20</f>
        <v xml:space="preserve">    Net Investment Income</v>
      </c>
      <c r="P27" s="4">
        <v>0</v>
      </c>
      <c r="R27" s="4">
        <f>'WBD IS'!C20</f>
        <v>-28</v>
      </c>
      <c r="S27" s="153" t="s">
        <v>390</v>
      </c>
      <c r="U27" s="8" t="s">
        <v>394</v>
      </c>
      <c r="V27" s="40">
        <f>-'IS Analysis '!Q24</f>
        <v>734.71799999999996</v>
      </c>
    </row>
    <row r="28" spans="2:22" ht="15" x14ac:dyDescent="0.25">
      <c r="B28" s="4" t="s">
        <v>557</v>
      </c>
      <c r="C28"/>
      <c r="D28" s="248">
        <f t="shared" si="1"/>
        <v>-0.1</v>
      </c>
      <c r="E28" s="231" t="s">
        <v>551</v>
      </c>
      <c r="F28"/>
      <c r="G28"/>
      <c r="J28" s="13" t="s">
        <v>370</v>
      </c>
      <c r="K28" s="154">
        <f>SUM(K26,K19)</f>
        <v>26980.799999999999</v>
      </c>
      <c r="L28" s="154">
        <f>SUM(L26,L19)</f>
        <v>21920</v>
      </c>
      <c r="M28" s="155">
        <f>SUM(M26,M19)</f>
        <v>22346</v>
      </c>
      <c r="O28" s="8" t="str">
        <f>'WBD IS'!B28</f>
        <v xml:space="preserve">    Irregular Income/Expense</v>
      </c>
      <c r="P28" s="156">
        <f>R28*S42</f>
        <v>530.41995128432234</v>
      </c>
      <c r="R28" s="4">
        <f>'WBD IS'!C28</f>
        <v>2057</v>
      </c>
      <c r="S28" s="153" t="s">
        <v>389</v>
      </c>
      <c r="U28" s="8" t="s">
        <v>419</v>
      </c>
      <c r="V28" s="157">
        <v>0.06</v>
      </c>
    </row>
    <row r="29" spans="2:22" ht="15.75" thickBot="1" x14ac:dyDescent="0.3">
      <c r="B29" s="240"/>
      <c r="C29" s="240"/>
      <c r="D29" s="240"/>
      <c r="E29" s="240"/>
      <c r="F29"/>
      <c r="G29"/>
      <c r="J29" s="8" t="s">
        <v>337</v>
      </c>
      <c r="K29" s="131">
        <f>L29*(1+K30)</f>
        <v>14239.55</v>
      </c>
      <c r="L29" s="4">
        <v>14989</v>
      </c>
      <c r="M29" s="19">
        <v>14919</v>
      </c>
      <c r="O29" s="8" t="str">
        <f>'WBD IS'!B37</f>
        <v xml:space="preserve">    Other Income/Expense, Non-Operating</v>
      </c>
      <c r="P29" s="158">
        <f>R29*S42</f>
        <v>8.5094109831709481</v>
      </c>
      <c r="R29" s="4">
        <f>'WBD IS'!C37</f>
        <v>33</v>
      </c>
      <c r="S29" s="153" t="s">
        <v>389</v>
      </c>
      <c r="U29" s="16" t="s">
        <v>387</v>
      </c>
      <c r="V29" s="148">
        <f>V27/V26</f>
        <v>4.3008722121407245E-2</v>
      </c>
    </row>
    <row r="30" spans="2:22" ht="15" x14ac:dyDescent="0.25">
      <c r="B30"/>
      <c r="C30"/>
      <c r="D30"/>
      <c r="E30"/>
      <c r="F30"/>
      <c r="G30"/>
      <c r="J30" s="8" t="s">
        <v>378</v>
      </c>
      <c r="K30" s="163">
        <f>$D$22</f>
        <v>-0.05</v>
      </c>
      <c r="L30" s="159">
        <f>L29/M29-1</f>
        <v>4.6920034854882608E-3</v>
      </c>
      <c r="M30" s="19"/>
      <c r="O30" s="160" t="str">
        <f>'WBD IS'!B15</f>
        <v>Non-Operating Income/Expense, Total</v>
      </c>
      <c r="P30" s="161">
        <f>SUM(P24:P29)</f>
        <v>-4352.2305872268535</v>
      </c>
      <c r="Q30" s="161">
        <f>SUM(Q24:Q25)</f>
        <v>-553.62699999999995</v>
      </c>
      <c r="R30" s="161">
        <f>SUM(R24:R29)</f>
        <v>279</v>
      </c>
      <c r="S30" s="153"/>
      <c r="U30" s="8"/>
      <c r="V30" s="19"/>
    </row>
    <row r="31" spans="2:22" ht="15" x14ac:dyDescent="0.25">
      <c r="B31" s="224" t="s">
        <v>560</v>
      </c>
      <c r="C31" s="239"/>
      <c r="D31" s="239"/>
      <c r="E31" s="239"/>
      <c r="F31" s="225"/>
      <c r="I31"/>
      <c r="J31" s="8" t="s">
        <v>339</v>
      </c>
      <c r="K31" s="38">
        <f>L31*(1+K32)</f>
        <v>4141.8</v>
      </c>
      <c r="L31" s="4">
        <v>4602</v>
      </c>
      <c r="M31" s="19">
        <v>5141</v>
      </c>
      <c r="O31" s="162"/>
      <c r="P31" s="9"/>
      <c r="R31" s="9"/>
      <c r="S31" s="153"/>
      <c r="U31" s="8"/>
      <c r="V31" s="19"/>
    </row>
    <row r="32" spans="2:22" ht="15.75" thickBot="1" x14ac:dyDescent="0.3">
      <c r="B32" s="227" t="s">
        <v>561</v>
      </c>
      <c r="C32" s="244"/>
      <c r="D32" s="229" t="s">
        <v>562</v>
      </c>
      <c r="E32" s="229" t="s">
        <v>559</v>
      </c>
      <c r="F32" s="229" t="s">
        <v>563</v>
      </c>
      <c r="I32"/>
      <c r="J32" s="8" t="s">
        <v>378</v>
      </c>
      <c r="K32" s="163">
        <f>$D$23</f>
        <v>-0.1</v>
      </c>
      <c r="L32" s="245">
        <f>L31/M31-1</f>
        <v>-0.10484341567788369</v>
      </c>
      <c r="M32" s="19"/>
      <c r="N32"/>
      <c r="O32"/>
      <c r="S32" s="153"/>
      <c r="U32" s="164" t="s">
        <v>395</v>
      </c>
      <c r="V32" s="165"/>
    </row>
    <row r="33" spans="2:22" ht="39" x14ac:dyDescent="0.25">
      <c r="B33" s="4" t="s">
        <v>564</v>
      </c>
      <c r="C33"/>
      <c r="D33" s="230">
        <v>0.05</v>
      </c>
      <c r="E33" s="230">
        <v>0.1</v>
      </c>
      <c r="F33" s="230">
        <v>0.2</v>
      </c>
      <c r="I33" s="230"/>
      <c r="J33" s="8"/>
      <c r="M33" s="19"/>
      <c r="O33" s="8" t="str">
        <f>'WBD IS'!B39</f>
        <v>Provision for Income Tax</v>
      </c>
      <c r="P33" s="166">
        <f>P45</f>
        <v>-1717.5871543286312</v>
      </c>
      <c r="Q33" s="130">
        <f>'NFLX IS'!C23</f>
        <v>-1657.7919999999999</v>
      </c>
      <c r="R33" s="130">
        <f>'WBD IS'!C39</f>
        <v>-1335</v>
      </c>
      <c r="S33" s="150" t="s">
        <v>392</v>
      </c>
      <c r="U33" s="8" t="s">
        <v>396</v>
      </c>
      <c r="V33" s="157">
        <f>V28</f>
        <v>0.06</v>
      </c>
    </row>
    <row r="34" spans="2:22" ht="15" x14ac:dyDescent="0.25">
      <c r="B34" s="4" t="s">
        <v>565</v>
      </c>
      <c r="C34"/>
      <c r="D34" s="230">
        <v>0.3</v>
      </c>
      <c r="E34" s="230">
        <v>0.5</v>
      </c>
      <c r="F34" s="230">
        <v>0.7</v>
      </c>
      <c r="I34" s="230"/>
      <c r="J34" s="13" t="s">
        <v>340</v>
      </c>
      <c r="K34" s="237">
        <f>K28-(K29+K31)</f>
        <v>8599.4500000000007</v>
      </c>
      <c r="L34" s="167">
        <v>2329</v>
      </c>
      <c r="M34" s="168">
        <v>2286</v>
      </c>
      <c r="O34" s="8" t="str">
        <f>'WBD IS'!B42</f>
        <v>Non-Controlling/Minority Interests</v>
      </c>
      <c r="P34" s="130">
        <v>0</v>
      </c>
      <c r="Q34" s="130"/>
      <c r="R34" s="130">
        <f>'WBD IS'!C42</f>
        <v>129</v>
      </c>
      <c r="S34" s="153" t="s">
        <v>391</v>
      </c>
      <c r="U34" s="8" t="s">
        <v>415</v>
      </c>
      <c r="V34" s="157">
        <f>V22</f>
        <v>5.9395602756481009E-2</v>
      </c>
    </row>
    <row r="35" spans="2:22" ht="15.75" thickBot="1" x14ac:dyDescent="0.3">
      <c r="B35" s="4" t="s">
        <v>566</v>
      </c>
      <c r="C35"/>
      <c r="D35" s="230">
        <v>0.9</v>
      </c>
      <c r="E35" s="230">
        <v>1</v>
      </c>
      <c r="F35" s="230">
        <v>1.1000000000000001</v>
      </c>
      <c r="I35" s="230"/>
      <c r="J35" s="8" t="s">
        <v>341</v>
      </c>
      <c r="K35" s="38">
        <f>L35*(1+K36)</f>
        <v>2279.7000000000003</v>
      </c>
      <c r="L35" s="4">
        <v>2533</v>
      </c>
      <c r="M35" s="19">
        <v>2730</v>
      </c>
      <c r="O35" s="8" t="str">
        <f>'WBD IS'!B47</f>
        <v>Other Adjustments to Net Income Available to Common Stockholders</v>
      </c>
      <c r="P35" s="130">
        <v>0</v>
      </c>
      <c r="Q35" s="130"/>
      <c r="R35" s="130">
        <f>'WBD IS'!C47</f>
        <v>-3</v>
      </c>
      <c r="S35" s="169" t="s">
        <v>391</v>
      </c>
      <c r="U35" s="8"/>
      <c r="V35" s="19"/>
    </row>
    <row r="36" spans="2:22" ht="15" x14ac:dyDescent="0.25">
      <c r="B36" s="4" t="s">
        <v>567</v>
      </c>
      <c r="C36"/>
      <c r="D36" s="230">
        <v>1.1000000000000001</v>
      </c>
      <c r="E36" s="230">
        <v>1.3</v>
      </c>
      <c r="F36" s="230">
        <v>1.5</v>
      </c>
      <c r="I36" s="230"/>
      <c r="J36" s="8"/>
      <c r="K36" s="234">
        <f>$D$24</f>
        <v>-0.1</v>
      </c>
      <c r="M36" s="19"/>
      <c r="O36" s="206" t="s">
        <v>412</v>
      </c>
      <c r="P36" s="207">
        <f>P22+(SUM(P30,P33))</f>
        <v>12220.76825844451</v>
      </c>
      <c r="Q36" s="208">
        <f>Q22+(SUM(Q30,Q33))</f>
        <v>10431.286999999997</v>
      </c>
      <c r="R36" s="209">
        <f>'WBD IS'!C48</f>
        <v>482</v>
      </c>
      <c r="U36" s="8" t="s">
        <v>397</v>
      </c>
      <c r="V36" s="29">
        <v>10700</v>
      </c>
    </row>
    <row r="37" spans="2:22" ht="15" x14ac:dyDescent="0.25">
      <c r="B37" s="4" t="s">
        <v>568</v>
      </c>
      <c r="C37"/>
      <c r="D37" s="230">
        <v>1.3</v>
      </c>
      <c r="E37" s="230">
        <v>1.6</v>
      </c>
      <c r="F37" s="230">
        <v>2</v>
      </c>
      <c r="I37" s="230"/>
      <c r="J37" s="8" t="s">
        <v>342</v>
      </c>
      <c r="K37" s="38">
        <f>L37*(1+K38)</f>
        <v>239.4</v>
      </c>
      <c r="L37" s="4">
        <v>266</v>
      </c>
      <c r="M37" s="19">
        <v>291</v>
      </c>
      <c r="U37" s="8" t="s">
        <v>416</v>
      </c>
      <c r="V37" s="29">
        <f>V36*V34</f>
        <v>635.53294949434678</v>
      </c>
    </row>
    <row r="38" spans="2:22" ht="15" x14ac:dyDescent="0.25">
      <c r="B38"/>
      <c r="C38"/>
      <c r="D38"/>
      <c r="E38"/>
      <c r="J38" s="8"/>
      <c r="K38" s="234">
        <f>$D$25</f>
        <v>-0.1</v>
      </c>
      <c r="M38" s="19"/>
      <c r="O38" s="5" t="s">
        <v>404</v>
      </c>
      <c r="P38" s="7"/>
      <c r="R38" s="5" t="s">
        <v>399</v>
      </c>
      <c r="S38" s="7"/>
      <c r="U38" s="8"/>
      <c r="V38" s="19"/>
    </row>
    <row r="39" spans="2:22" ht="15" x14ac:dyDescent="0.25">
      <c r="B39" s="227" t="s">
        <v>569</v>
      </c>
      <c r="C39" s="244"/>
      <c r="D39" s="229" t="s">
        <v>562</v>
      </c>
      <c r="E39" s="229" t="s">
        <v>559</v>
      </c>
      <c r="F39" s="229" t="s">
        <v>563</v>
      </c>
      <c r="I39"/>
      <c r="J39" s="8" t="s">
        <v>343</v>
      </c>
      <c r="K39" s="171">
        <f>L39</f>
        <v>1</v>
      </c>
      <c r="L39" s="4">
        <v>1</v>
      </c>
      <c r="M39" s="19">
        <v>11</v>
      </c>
      <c r="O39" s="8" t="s">
        <v>405</v>
      </c>
      <c r="P39" s="132">
        <f>'WBD IS'!C38</f>
        <v>1691</v>
      </c>
      <c r="R39" s="8" t="s">
        <v>400</v>
      </c>
      <c r="S39" s="19">
        <v>1652</v>
      </c>
      <c r="U39" s="8" t="s">
        <v>398</v>
      </c>
      <c r="V39" s="29">
        <v>61700</v>
      </c>
    </row>
    <row r="40" spans="2:22" ht="15" x14ac:dyDescent="0.25">
      <c r="B40" s="4" t="s">
        <v>550</v>
      </c>
      <c r="C40"/>
      <c r="D40" s="232">
        <v>-0.02</v>
      </c>
      <c r="E40" s="232">
        <v>-0.05</v>
      </c>
      <c r="F40" s="232">
        <v>-0.08</v>
      </c>
      <c r="I40" s="232"/>
      <c r="J40" s="8" t="s">
        <v>344</v>
      </c>
      <c r="K40" s="38">
        <f>L40*(1+K41)</f>
        <v>336.42</v>
      </c>
      <c r="L40" s="4">
        <v>378</v>
      </c>
      <c r="M40" s="19">
        <v>1455</v>
      </c>
      <c r="O40" s="8" t="s">
        <v>406</v>
      </c>
      <c r="P40" s="157">
        <f>S42</f>
        <v>0.2578609388839681</v>
      </c>
      <c r="R40" s="8" t="s">
        <v>401</v>
      </c>
      <c r="S40" s="19">
        <v>677</v>
      </c>
      <c r="U40" s="151" t="s">
        <v>417</v>
      </c>
      <c r="V40" s="172">
        <f>V39*V33</f>
        <v>3702</v>
      </c>
    </row>
    <row r="41" spans="2:22" ht="15" x14ac:dyDescent="0.25">
      <c r="B41" s="4" t="s">
        <v>552</v>
      </c>
      <c r="C41"/>
      <c r="D41" s="232">
        <v>-0.05</v>
      </c>
      <c r="E41" s="232">
        <v>-0.1</v>
      </c>
      <c r="F41" s="232">
        <v>-0.15</v>
      </c>
      <c r="I41" s="232"/>
      <c r="J41" s="8"/>
      <c r="K41" s="235">
        <f>$D$26</f>
        <v>-0.11</v>
      </c>
      <c r="M41" s="19"/>
      <c r="O41" s="8" t="s">
        <v>407</v>
      </c>
      <c r="P41" s="39">
        <f>P39*P40</f>
        <v>436.04284765279004</v>
      </c>
      <c r="R41" s="8" t="s">
        <v>402</v>
      </c>
      <c r="S41" s="19">
        <v>9032</v>
      </c>
      <c r="U41" s="8"/>
      <c r="V41" s="19"/>
    </row>
    <row r="42" spans="2:22" ht="15" x14ac:dyDescent="0.25">
      <c r="B42" s="4" t="s">
        <v>553</v>
      </c>
      <c r="C42"/>
      <c r="D42" s="232">
        <v>-0.05</v>
      </c>
      <c r="E42" s="232">
        <v>-0.1</v>
      </c>
      <c r="F42" s="232">
        <v>-0.15</v>
      </c>
      <c r="I42" s="232"/>
      <c r="J42" s="8" t="s">
        <v>325</v>
      </c>
      <c r="K42" s="38">
        <f>L42*(1+K43)</f>
        <v>40.479999999999997</v>
      </c>
      <c r="L42" s="4">
        <v>46</v>
      </c>
      <c r="M42" s="19">
        <v>46</v>
      </c>
      <c r="O42" s="8" t="s">
        <v>408</v>
      </c>
      <c r="P42" s="39">
        <f>'NFLX IS'!C22</f>
        <v>12089.079</v>
      </c>
      <c r="R42" s="13" t="s">
        <v>403</v>
      </c>
      <c r="S42" s="173">
        <f>(S39+S40)/S41</f>
        <v>0.2578609388839681</v>
      </c>
      <c r="U42" s="170" t="s">
        <v>394</v>
      </c>
      <c r="V42" s="174">
        <f>V37+V40</f>
        <v>4337.5329494943471</v>
      </c>
    </row>
    <row r="43" spans="2:22" ht="15" x14ac:dyDescent="0.25">
      <c r="B43" s="4" t="s">
        <v>570</v>
      </c>
      <c r="C43"/>
      <c r="D43" s="232">
        <v>-0.05</v>
      </c>
      <c r="E43" s="232">
        <v>-0.1</v>
      </c>
      <c r="F43" s="232">
        <v>-0.2</v>
      </c>
      <c r="I43" s="232"/>
      <c r="J43" s="8"/>
      <c r="K43" s="235">
        <f>$D$27</f>
        <v>-0.12</v>
      </c>
      <c r="M43" s="19"/>
      <c r="O43" s="8" t="s">
        <v>409</v>
      </c>
      <c r="P43" s="39">
        <f>SUM(P41:P42)</f>
        <v>12525.12184765279</v>
      </c>
    </row>
    <row r="44" spans="2:22" ht="15" x14ac:dyDescent="0.25">
      <c r="B44" s="4" t="s">
        <v>555</v>
      </c>
      <c r="C44"/>
      <c r="D44" s="232">
        <v>-0.05</v>
      </c>
      <c r="E44" s="232">
        <v>-0.11</v>
      </c>
      <c r="F44" s="232">
        <v>-0.2</v>
      </c>
      <c r="I44" s="232"/>
      <c r="J44" s="8" t="s">
        <v>345</v>
      </c>
      <c r="K44" s="171"/>
      <c r="M44" s="19">
        <v>103</v>
      </c>
      <c r="O44" s="8" t="s">
        <v>410</v>
      </c>
      <c r="P44" s="10">
        <f>-'NFLX IS'!C23/'NFLX IS'!C22</f>
        <v>0.1371313728696785</v>
      </c>
    </row>
    <row r="45" spans="2:22" ht="15" x14ac:dyDescent="0.25">
      <c r="B45" s="4" t="s">
        <v>571</v>
      </c>
      <c r="C45"/>
      <c r="D45" s="232">
        <v>0</v>
      </c>
      <c r="E45" s="232">
        <v>-0.12</v>
      </c>
      <c r="F45" s="232">
        <v>-0.15</v>
      </c>
      <c r="I45" s="232"/>
      <c r="J45" s="8" t="s">
        <v>347</v>
      </c>
      <c r="K45" s="38">
        <f>L45*(1+K46)</f>
        <v>54.9</v>
      </c>
      <c r="L45" s="4">
        <v>61</v>
      </c>
      <c r="M45" s="19">
        <v>4</v>
      </c>
      <c r="O45" s="13" t="s">
        <v>411</v>
      </c>
      <c r="P45" s="175">
        <f>-P43*P44</f>
        <v>-1717.5871543286312</v>
      </c>
    </row>
    <row r="46" spans="2:22" x14ac:dyDescent="0.2">
      <c r="B46" s="4" t="s">
        <v>572</v>
      </c>
      <c r="D46" s="232">
        <v>-0.05</v>
      </c>
      <c r="E46" s="232">
        <v>-0.1</v>
      </c>
      <c r="F46" s="232">
        <v>-0.15</v>
      </c>
      <c r="I46" s="232"/>
      <c r="J46" s="8"/>
      <c r="K46" s="163">
        <f>$D$28</f>
        <v>-0.1</v>
      </c>
      <c r="M46" s="19"/>
    </row>
    <row r="47" spans="2:22" ht="13.5" thickBot="1" x14ac:dyDescent="0.25">
      <c r="B47" s="233"/>
      <c r="C47" s="233"/>
      <c r="D47" s="233"/>
      <c r="E47" s="233"/>
      <c r="F47" s="233"/>
      <c r="J47" s="206" t="s">
        <v>372</v>
      </c>
      <c r="K47" s="238">
        <f>K34-SUM(K35,K37,K40,K42,K45,K39)</f>
        <v>5647.55</v>
      </c>
      <c r="L47" s="210">
        <v>-956</v>
      </c>
      <c r="M47" s="211">
        <v>-2354</v>
      </c>
    </row>
    <row r="51" spans="2:2" x14ac:dyDescent="0.2">
      <c r="B51" s="4" t="str" cm="1">
        <f t="array" ref="B51:B53">TRANSPOSE(D32:F32)</f>
        <v>Conservative</v>
      </c>
    </row>
    <row r="52" spans="2:2" x14ac:dyDescent="0.2">
      <c r="B52" s="4" t="str">
        <v>Normal</v>
      </c>
    </row>
    <row r="53" spans="2:2" x14ac:dyDescent="0.2">
      <c r="B53" s="4" t="str">
        <v>Optimistic</v>
      </c>
    </row>
  </sheetData>
  <mergeCells count="1">
    <mergeCell ref="F13:G1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2" r:id="rId3" name="Drop Down 4">
              <controlPr defaultSize="0" autoLine="0" autoPict="0">
                <anchor moveWithCells="1">
                  <from>
                    <xdr:col>1</xdr:col>
                    <xdr:colOff>1609725</xdr:colOff>
                    <xdr:row>1</xdr:row>
                    <xdr:rowOff>247650</xdr:rowOff>
                  </from>
                  <to>
                    <xdr:col>3</xdr:col>
                    <xdr:colOff>1095375</xdr:colOff>
                    <xdr:row>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9844-9F29-4CB6-81F4-0919E9A07AD7}">
  <dimension ref="A2:P117"/>
  <sheetViews>
    <sheetView showGridLines="0" topLeftCell="A9" zoomScale="115" zoomScaleNormal="115" workbookViewId="0">
      <selection activeCell="C56" sqref="C56"/>
    </sheetView>
  </sheetViews>
  <sheetFormatPr defaultRowHeight="15" x14ac:dyDescent="0.25"/>
  <cols>
    <col min="1" max="1" width="10.5703125" style="2" bestFit="1" customWidth="1"/>
    <col min="2" max="2" width="35.85546875" style="2" bestFit="1" customWidth="1"/>
    <col min="3" max="3" width="35.85546875" style="2" customWidth="1"/>
    <col min="4" max="4" width="17.5703125" style="2" customWidth="1"/>
    <col min="5" max="6" width="10.5703125" style="2" customWidth="1"/>
    <col min="7" max="7" width="6" style="2" customWidth="1"/>
    <col min="8" max="8" width="11" style="2" customWidth="1"/>
    <col min="9" max="9" width="27.42578125" style="2" customWidth="1"/>
    <col min="10" max="10" width="12.5703125" style="2" bestFit="1" customWidth="1"/>
    <col min="11" max="11" width="5.28515625" style="2" customWidth="1"/>
    <col min="12" max="12" width="15.42578125" style="2" customWidth="1"/>
    <col min="13" max="13" width="15.140625" style="2" customWidth="1"/>
    <col min="14" max="14" width="13" style="2" customWidth="1"/>
    <col min="15" max="15" width="25" style="2" customWidth="1"/>
    <col min="16" max="16" width="33.28515625" style="2" customWidth="1"/>
    <col min="17" max="16384" width="9.140625" style="2"/>
  </cols>
  <sheetData>
    <row r="2" spans="1:16" ht="26.25" x14ac:dyDescent="0.25">
      <c r="B2" s="1" t="s">
        <v>535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4" customFormat="1" ht="11.25" customHeight="1" x14ac:dyDescent="0.25">
      <c r="A3" s="2"/>
    </row>
    <row r="4" spans="1:16" s="4" customFormat="1" ht="51" x14ac:dyDescent="0.25">
      <c r="A4" s="2"/>
      <c r="B4" s="81" t="s">
        <v>537</v>
      </c>
      <c r="C4" s="21"/>
      <c r="D4" s="82">
        <v>45901</v>
      </c>
      <c r="E4" s="82">
        <v>45809</v>
      </c>
      <c r="F4" s="83">
        <v>45717</v>
      </c>
      <c r="H4" s="81" t="s">
        <v>0</v>
      </c>
      <c r="I4" s="84" t="s">
        <v>1</v>
      </c>
      <c r="J4" s="85" t="s">
        <v>10</v>
      </c>
      <c r="L4" s="81" t="s">
        <v>482</v>
      </c>
      <c r="M4" s="86" t="s">
        <v>483</v>
      </c>
      <c r="N4" s="86" t="s">
        <v>484</v>
      </c>
      <c r="O4" s="86" t="s">
        <v>485</v>
      </c>
      <c r="P4" s="87" t="s">
        <v>486</v>
      </c>
    </row>
    <row r="5" spans="1:16" s="4" customFormat="1" x14ac:dyDescent="0.25">
      <c r="A5" s="2"/>
      <c r="B5" s="88"/>
      <c r="C5" s="89" t="s">
        <v>475</v>
      </c>
      <c r="D5" s="90" t="s">
        <v>511</v>
      </c>
      <c r="E5" s="90"/>
      <c r="F5" s="91"/>
      <c r="H5" s="88"/>
      <c r="I5" s="89"/>
      <c r="J5" s="25"/>
      <c r="L5" s="88"/>
      <c r="M5" s="92"/>
      <c r="N5" s="92"/>
      <c r="O5" s="92"/>
      <c r="P5" s="93"/>
    </row>
    <row r="6" spans="1:16" s="4" customFormat="1" ht="51" x14ac:dyDescent="0.25">
      <c r="A6" s="43"/>
      <c r="B6" s="94" t="s">
        <v>420</v>
      </c>
      <c r="C6" s="95"/>
      <c r="D6" s="96"/>
      <c r="E6" s="96"/>
      <c r="F6" s="97"/>
      <c r="G6" s="98"/>
      <c r="H6" s="99" t="s">
        <v>2</v>
      </c>
      <c r="I6" s="100" t="s">
        <v>543</v>
      </c>
      <c r="J6" s="101">
        <v>21200</v>
      </c>
      <c r="L6" s="99" t="s">
        <v>487</v>
      </c>
      <c r="M6" s="102" t="s">
        <v>488</v>
      </c>
      <c r="N6" s="96" t="s">
        <v>346</v>
      </c>
      <c r="O6" s="103">
        <v>61700</v>
      </c>
      <c r="P6" s="104" t="s">
        <v>610</v>
      </c>
    </row>
    <row r="7" spans="1:16" s="4" customFormat="1" ht="51" x14ac:dyDescent="0.25">
      <c r="A7" s="43"/>
      <c r="B7" s="105" t="s">
        <v>421</v>
      </c>
      <c r="C7" s="106">
        <v>0</v>
      </c>
      <c r="D7" s="107">
        <v>9287.2999999999993</v>
      </c>
      <c r="E7" s="107">
        <v>8177.4</v>
      </c>
      <c r="F7" s="108">
        <v>7199.8</v>
      </c>
      <c r="G7" s="98"/>
      <c r="H7" s="99" t="s">
        <v>3</v>
      </c>
      <c r="I7" s="100" t="s">
        <v>544</v>
      </c>
      <c r="J7" s="101">
        <v>38300</v>
      </c>
      <c r="L7" s="99" t="s">
        <v>489</v>
      </c>
      <c r="M7" s="102" t="s">
        <v>490</v>
      </c>
      <c r="N7" s="96" t="s">
        <v>346</v>
      </c>
      <c r="O7" s="103">
        <v>10700</v>
      </c>
      <c r="P7" s="104" t="s">
        <v>491</v>
      </c>
    </row>
    <row r="8" spans="1:16" s="4" customFormat="1" ht="38.25" x14ac:dyDescent="0.25">
      <c r="A8" s="43"/>
      <c r="B8" s="105" t="s">
        <v>422</v>
      </c>
      <c r="C8" s="106">
        <v>0</v>
      </c>
      <c r="D8" s="96">
        <v>37.1</v>
      </c>
      <c r="E8" s="96">
        <v>213.1</v>
      </c>
      <c r="F8" s="108">
        <v>1171.0999999999999</v>
      </c>
      <c r="G8" s="98"/>
      <c r="H8" s="99" t="s">
        <v>4</v>
      </c>
      <c r="I8" s="100" t="s">
        <v>611</v>
      </c>
      <c r="J8" s="101">
        <v>33008.9</v>
      </c>
      <c r="L8" s="109" t="s">
        <v>492</v>
      </c>
      <c r="M8" s="96" t="s">
        <v>493</v>
      </c>
      <c r="N8" s="110">
        <v>1083</v>
      </c>
      <c r="O8" s="96">
        <v>577</v>
      </c>
      <c r="P8" s="104" t="s">
        <v>494</v>
      </c>
    </row>
    <row r="9" spans="1:16" s="4" customFormat="1" ht="51" x14ac:dyDescent="0.25">
      <c r="A9" s="43"/>
      <c r="B9" s="94" t="s">
        <v>423</v>
      </c>
      <c r="C9" s="106">
        <f>D9-10300</f>
        <v>-975.60000000000036</v>
      </c>
      <c r="D9" s="107">
        <v>9324.4</v>
      </c>
      <c r="E9" s="107">
        <v>8390.5</v>
      </c>
      <c r="F9" s="108">
        <v>8371</v>
      </c>
      <c r="G9" s="98"/>
      <c r="H9" s="99" t="s">
        <v>5</v>
      </c>
      <c r="I9" s="100" t="s">
        <v>6</v>
      </c>
      <c r="J9" s="111">
        <v>0</v>
      </c>
      <c r="L9" s="109" t="s">
        <v>495</v>
      </c>
      <c r="M9" s="96" t="s">
        <v>493</v>
      </c>
      <c r="N9" s="110">
        <v>9292</v>
      </c>
      <c r="O9" s="110">
        <v>4947</v>
      </c>
      <c r="P9" s="104" t="s">
        <v>494</v>
      </c>
    </row>
    <row r="10" spans="1:16" s="4" customFormat="1" ht="51" x14ac:dyDescent="0.25">
      <c r="A10" s="43"/>
      <c r="B10" s="94" t="s">
        <v>424</v>
      </c>
      <c r="C10" s="106">
        <f t="shared" ref="C10:C17" si="0">D10</f>
        <v>0</v>
      </c>
      <c r="D10" s="96"/>
      <c r="E10" s="96"/>
      <c r="F10" s="97"/>
      <c r="G10" s="98"/>
      <c r="H10" s="99" t="s">
        <v>7</v>
      </c>
      <c r="I10" s="100" t="s">
        <v>8</v>
      </c>
      <c r="J10" s="101">
        <v>6000</v>
      </c>
      <c r="L10" s="109" t="s">
        <v>496</v>
      </c>
      <c r="M10" s="96" t="s">
        <v>493</v>
      </c>
      <c r="N10" s="110">
        <v>1649</v>
      </c>
      <c r="O10" s="96">
        <v>878</v>
      </c>
      <c r="P10" s="104" t="s">
        <v>497</v>
      </c>
    </row>
    <row r="11" spans="1:16" s="4" customFormat="1" ht="76.5" x14ac:dyDescent="0.25">
      <c r="A11" s="43"/>
      <c r="B11" s="105" t="s">
        <v>425</v>
      </c>
      <c r="C11" s="106">
        <f t="shared" si="0"/>
        <v>1688.8</v>
      </c>
      <c r="D11" s="107">
        <v>1688.8</v>
      </c>
      <c r="E11" s="107">
        <v>1579.9</v>
      </c>
      <c r="F11" s="108">
        <v>1448</v>
      </c>
      <c r="G11" s="98"/>
      <c r="H11" s="99" t="s">
        <v>9</v>
      </c>
      <c r="I11" s="100" t="s">
        <v>545</v>
      </c>
      <c r="J11" s="111">
        <v>0</v>
      </c>
      <c r="L11" s="109" t="s">
        <v>498</v>
      </c>
      <c r="M11" s="96" t="s">
        <v>493</v>
      </c>
      <c r="N11" s="110">
        <v>10961</v>
      </c>
      <c r="O11" s="110">
        <v>5836</v>
      </c>
      <c r="P11" s="104" t="s">
        <v>499</v>
      </c>
    </row>
    <row r="12" spans="1:16" s="4" customFormat="1" ht="38.25" x14ac:dyDescent="0.25">
      <c r="A12" s="43"/>
      <c r="B12" s="105" t="s">
        <v>426</v>
      </c>
      <c r="C12" s="106" t="str">
        <f t="shared" si="0"/>
        <v>—</v>
      </c>
      <c r="D12" s="96" t="s">
        <v>346</v>
      </c>
      <c r="E12" s="96" t="s">
        <v>346</v>
      </c>
      <c r="F12" s="97" t="s">
        <v>346</v>
      </c>
      <c r="G12" s="98"/>
      <c r="H12" s="16"/>
      <c r="I12" s="112" t="s">
        <v>26</v>
      </c>
      <c r="J12" s="113">
        <f>SUM(J6:J11)</f>
        <v>98508.9</v>
      </c>
      <c r="L12" s="109" t="s">
        <v>500</v>
      </c>
      <c r="M12" s="96" t="s">
        <v>501</v>
      </c>
      <c r="N12" s="110">
        <v>6708</v>
      </c>
      <c r="O12" s="110">
        <v>3571</v>
      </c>
      <c r="P12" s="114" t="s">
        <v>546</v>
      </c>
    </row>
    <row r="13" spans="1:16" s="4" customFormat="1" ht="25.5" x14ac:dyDescent="0.25">
      <c r="A13" s="43"/>
      <c r="B13" s="94" t="s">
        <v>427</v>
      </c>
      <c r="C13" s="106">
        <f t="shared" si="0"/>
        <v>1688.8</v>
      </c>
      <c r="D13" s="107">
        <v>1688.8</v>
      </c>
      <c r="E13" s="107">
        <v>1579.9</v>
      </c>
      <c r="F13" s="108">
        <v>1448</v>
      </c>
      <c r="G13" s="98"/>
      <c r="L13" s="115" t="s">
        <v>502</v>
      </c>
      <c r="M13" s="116"/>
      <c r="N13" s="116"/>
      <c r="O13" s="117">
        <f>SUM(O6:O12)</f>
        <v>88209</v>
      </c>
      <c r="P13" s="118" t="s">
        <v>503</v>
      </c>
    </row>
    <row r="14" spans="1:16" s="4" customFormat="1" x14ac:dyDescent="0.25">
      <c r="A14" s="43"/>
      <c r="B14" s="94" t="s">
        <v>428</v>
      </c>
      <c r="C14" s="106"/>
      <c r="D14" s="96"/>
      <c r="E14" s="96"/>
      <c r="F14" s="97"/>
      <c r="G14" s="98"/>
      <c r="H14" s="119"/>
      <c r="I14" s="120" t="s">
        <v>538</v>
      </c>
      <c r="J14" s="98"/>
    </row>
    <row r="15" spans="1:16" s="4" customFormat="1" x14ac:dyDescent="0.25">
      <c r="A15" s="43"/>
      <c r="B15" s="105" t="s">
        <v>429</v>
      </c>
      <c r="C15" s="106">
        <f t="shared" si="0"/>
        <v>467.6</v>
      </c>
      <c r="D15" s="96">
        <v>467.6</v>
      </c>
      <c r="E15" s="96">
        <v>451.1</v>
      </c>
      <c r="F15" s="97">
        <v>484.4</v>
      </c>
      <c r="G15" s="98"/>
      <c r="H15" s="98"/>
      <c r="I15" s="98"/>
      <c r="J15" s="98"/>
    </row>
    <row r="16" spans="1:16" s="4" customFormat="1" x14ac:dyDescent="0.25">
      <c r="A16" s="43"/>
      <c r="B16" s="105" t="s">
        <v>430</v>
      </c>
      <c r="C16" s="106" t="str">
        <f t="shared" si="0"/>
        <v>—</v>
      </c>
      <c r="D16" s="96" t="s">
        <v>346</v>
      </c>
      <c r="E16" s="96" t="s">
        <v>346</v>
      </c>
      <c r="F16" s="97" t="s">
        <v>346</v>
      </c>
      <c r="G16" s="98"/>
      <c r="H16" s="98"/>
      <c r="I16" s="98"/>
      <c r="J16" s="98"/>
    </row>
    <row r="17" spans="1:10" s="4" customFormat="1" x14ac:dyDescent="0.25">
      <c r="A17" s="43"/>
      <c r="B17" s="105" t="s">
        <v>431</v>
      </c>
      <c r="C17" s="106">
        <f t="shared" si="0"/>
        <v>1482.2</v>
      </c>
      <c r="D17" s="107">
        <v>1482.2</v>
      </c>
      <c r="E17" s="107">
        <v>1571.7</v>
      </c>
      <c r="F17" s="108">
        <v>1394.3</v>
      </c>
      <c r="G17" s="98"/>
      <c r="H17" s="98"/>
      <c r="I17" s="98"/>
      <c r="J17" s="98"/>
    </row>
    <row r="18" spans="1:10" s="4" customFormat="1" x14ac:dyDescent="0.25">
      <c r="A18" s="43"/>
      <c r="B18" s="94" t="s">
        <v>432</v>
      </c>
      <c r="C18" s="106">
        <f>SUM(C13:C17,C9)</f>
        <v>2663</v>
      </c>
      <c r="D18" s="107">
        <v>12962.9</v>
      </c>
      <c r="E18" s="107">
        <v>11993.1</v>
      </c>
      <c r="F18" s="108">
        <v>11697.6</v>
      </c>
      <c r="G18" s="98"/>
      <c r="H18" s="98"/>
      <c r="I18" s="98"/>
      <c r="J18" s="98"/>
    </row>
    <row r="19" spans="1:10" s="4" customFormat="1" x14ac:dyDescent="0.25">
      <c r="A19" s="43"/>
      <c r="B19" s="94" t="s">
        <v>433</v>
      </c>
      <c r="C19" s="95"/>
      <c r="D19" s="96"/>
      <c r="E19" s="96"/>
      <c r="F19" s="97"/>
      <c r="G19" s="98"/>
      <c r="H19" s="98"/>
      <c r="I19" s="98"/>
      <c r="J19" s="98"/>
    </row>
    <row r="20" spans="1:10" x14ac:dyDescent="0.25">
      <c r="A20" s="43"/>
      <c r="B20" s="3"/>
      <c r="E20" s="46"/>
      <c r="F20" s="47"/>
      <c r="G20" s="43"/>
      <c r="H20" s="43"/>
      <c r="I20" s="43"/>
      <c r="J20" s="43"/>
    </row>
    <row r="21" spans="1:10" x14ac:dyDescent="0.25">
      <c r="A21" s="43"/>
      <c r="B21" s="52" t="str">
        <f>H10</f>
        <v>Studio Facilities &amp; Tech</v>
      </c>
      <c r="C21" s="53">
        <f>J10</f>
        <v>6000</v>
      </c>
      <c r="E21" s="46"/>
      <c r="F21" s="47"/>
      <c r="G21" s="43"/>
      <c r="H21" s="43"/>
      <c r="I21" s="43"/>
      <c r="J21" s="43"/>
    </row>
    <row r="22" spans="1:10" x14ac:dyDescent="0.25">
      <c r="A22" s="43"/>
      <c r="B22" s="44" t="s">
        <v>470</v>
      </c>
      <c r="C22" s="54">
        <f>D23</f>
        <v>5180.3999999999996</v>
      </c>
      <c r="D22" s="46"/>
      <c r="E22" s="46"/>
      <c r="F22" s="47"/>
      <c r="G22" s="43"/>
      <c r="H22" s="43"/>
      <c r="I22" s="43"/>
      <c r="J22" s="43"/>
    </row>
    <row r="23" spans="1:10" x14ac:dyDescent="0.25">
      <c r="A23" s="43"/>
      <c r="B23" s="48" t="s">
        <v>434</v>
      </c>
      <c r="C23" s="55">
        <f>SUM(C21:C22)</f>
        <v>11180.4</v>
      </c>
      <c r="D23" s="50">
        <v>5180.3999999999996</v>
      </c>
      <c r="E23" s="50">
        <v>4957.2</v>
      </c>
      <c r="F23" s="51">
        <v>4715.8</v>
      </c>
      <c r="G23" s="43"/>
      <c r="H23" s="43"/>
      <c r="I23" s="43"/>
      <c r="J23" s="43"/>
    </row>
    <row r="24" spans="1:10" x14ac:dyDescent="0.25">
      <c r="A24" s="43"/>
      <c r="B24" s="48" t="s">
        <v>435</v>
      </c>
      <c r="C24" s="49">
        <f>D24</f>
        <v>-1045.8</v>
      </c>
      <c r="D24" s="50">
        <v>-1045.8</v>
      </c>
      <c r="E24" s="50">
        <v>-1038.3</v>
      </c>
      <c r="F24" s="47">
        <v>-976.2</v>
      </c>
      <c r="G24" s="43"/>
      <c r="H24" s="43"/>
      <c r="I24" s="43"/>
      <c r="J24" s="43"/>
    </row>
    <row r="25" spans="1:10" x14ac:dyDescent="0.25">
      <c r="A25" s="43"/>
      <c r="B25" s="44" t="s">
        <v>436</v>
      </c>
      <c r="C25" s="56">
        <f>SUM(C23:C24)</f>
        <v>10134.6</v>
      </c>
      <c r="D25" s="50">
        <v>4134.6000000000004</v>
      </c>
      <c r="E25" s="50">
        <v>3918.9</v>
      </c>
      <c r="F25" s="51">
        <v>3739.6</v>
      </c>
      <c r="G25" s="43"/>
      <c r="H25" s="43"/>
      <c r="I25" s="43"/>
      <c r="J25" s="43"/>
    </row>
    <row r="26" spans="1:10" x14ac:dyDescent="0.25">
      <c r="A26" s="43"/>
      <c r="B26" s="52" t="str">
        <f>H6</f>
        <v>Content Library</v>
      </c>
      <c r="C26" s="53">
        <f>J6</f>
        <v>21200</v>
      </c>
      <c r="D26" s="50"/>
      <c r="E26" s="50"/>
      <c r="F26" s="51"/>
      <c r="G26" s="43"/>
      <c r="H26" s="43"/>
      <c r="I26" s="43"/>
      <c r="J26" s="43"/>
    </row>
    <row r="27" spans="1:10" x14ac:dyDescent="0.25">
      <c r="A27" s="43"/>
      <c r="B27" s="52" t="str">
        <f>H8</f>
        <v>Goodwill</v>
      </c>
      <c r="C27" s="57">
        <f>J8</f>
        <v>33008.9</v>
      </c>
      <c r="D27" s="50"/>
      <c r="E27" s="50"/>
      <c r="F27" s="51"/>
      <c r="G27" s="43"/>
      <c r="H27" s="43"/>
      <c r="I27" s="43"/>
      <c r="J27" s="43"/>
    </row>
    <row r="28" spans="1:10" x14ac:dyDescent="0.25">
      <c r="A28" s="43"/>
      <c r="B28" s="52" t="s">
        <v>469</v>
      </c>
      <c r="C28" s="57">
        <f>J7</f>
        <v>38300</v>
      </c>
      <c r="D28" s="50"/>
      <c r="E28" s="50"/>
      <c r="F28" s="51"/>
      <c r="G28" s="43"/>
      <c r="H28" s="43"/>
      <c r="I28" s="43"/>
      <c r="J28" s="43"/>
    </row>
    <row r="29" spans="1:10" x14ac:dyDescent="0.25">
      <c r="A29" s="43"/>
      <c r="B29" s="58" t="s">
        <v>471</v>
      </c>
      <c r="C29" s="59">
        <f>D30</f>
        <v>12182.2</v>
      </c>
      <c r="D29" s="50"/>
      <c r="E29" s="50"/>
      <c r="F29" s="51"/>
      <c r="G29" s="43"/>
      <c r="H29" s="43"/>
      <c r="I29" s="43"/>
      <c r="J29" s="43"/>
    </row>
    <row r="30" spans="1:10" x14ac:dyDescent="0.25">
      <c r="A30" s="43"/>
      <c r="B30" s="48" t="s">
        <v>437</v>
      </c>
      <c r="C30" s="55">
        <f>SUM(C26:C29)</f>
        <v>104691.09999999999</v>
      </c>
      <c r="D30" s="50">
        <v>12182.2</v>
      </c>
      <c r="E30" s="50">
        <v>12273.1</v>
      </c>
      <c r="F30" s="51">
        <v>12393.1</v>
      </c>
      <c r="G30" s="43"/>
      <c r="H30" s="43"/>
      <c r="I30" s="43"/>
      <c r="J30" s="43"/>
    </row>
    <row r="31" spans="1:10" x14ac:dyDescent="0.25">
      <c r="A31" s="43"/>
      <c r="B31" s="48" t="s">
        <v>438</v>
      </c>
      <c r="C31" s="60"/>
      <c r="D31" s="46" t="s">
        <v>346</v>
      </c>
      <c r="E31" s="46" t="s">
        <v>346</v>
      </c>
      <c r="F31" s="47" t="s">
        <v>346</v>
      </c>
      <c r="G31" s="43"/>
      <c r="H31" s="43"/>
      <c r="I31" s="43"/>
      <c r="J31" s="43"/>
    </row>
    <row r="32" spans="1:10" x14ac:dyDescent="0.25">
      <c r="A32" s="43"/>
      <c r="B32" s="48" t="s">
        <v>439</v>
      </c>
      <c r="C32" s="49">
        <f>D32</f>
        <v>25655.1</v>
      </c>
      <c r="D32" s="50">
        <v>25655.1</v>
      </c>
      <c r="E32" s="50">
        <v>24914.6</v>
      </c>
      <c r="F32" s="51">
        <v>24257.3</v>
      </c>
      <c r="G32" s="43"/>
      <c r="H32" s="43"/>
      <c r="I32" s="43"/>
      <c r="J32" s="43"/>
    </row>
    <row r="33" spans="1:10" x14ac:dyDescent="0.25">
      <c r="A33" s="43"/>
      <c r="B33" s="61" t="s">
        <v>183</v>
      </c>
      <c r="C33" s="62">
        <f>SUM(C32,C30,C25,C18)</f>
        <v>143143.79999999999</v>
      </c>
      <c r="D33" s="62">
        <f>SUM(D32,D30,D25,D18)</f>
        <v>54934.8</v>
      </c>
      <c r="E33" s="62">
        <f>SUM(E32,E30,E25,E18)</f>
        <v>53099.7</v>
      </c>
      <c r="F33" s="63">
        <f>SUM(F32,F30,F25,F18)</f>
        <v>52087.6</v>
      </c>
      <c r="G33" s="43"/>
      <c r="H33" s="43"/>
      <c r="I33" s="43"/>
      <c r="J33" s="43"/>
    </row>
    <row r="34" spans="1:10" x14ac:dyDescent="0.25">
      <c r="A34" s="43"/>
      <c r="B34" s="44" t="s">
        <v>440</v>
      </c>
      <c r="C34" s="45"/>
      <c r="D34" s="46"/>
      <c r="E34" s="46"/>
      <c r="F34" s="47"/>
      <c r="G34" s="43"/>
      <c r="H34" s="43"/>
      <c r="I34" s="43"/>
      <c r="J34" s="43"/>
    </row>
    <row r="35" spans="1:10" x14ac:dyDescent="0.25">
      <c r="A35" s="43"/>
      <c r="B35" s="64" t="s">
        <v>504</v>
      </c>
      <c r="C35" s="65">
        <f>O8</f>
        <v>577</v>
      </c>
      <c r="D35" s="46"/>
      <c r="E35" s="46"/>
      <c r="F35" s="47"/>
      <c r="G35" s="43"/>
      <c r="H35" s="43"/>
      <c r="I35" s="43"/>
      <c r="J35" s="43"/>
    </row>
    <row r="36" spans="1:10" x14ac:dyDescent="0.25">
      <c r="A36" s="43"/>
      <c r="B36" s="48" t="s">
        <v>505</v>
      </c>
      <c r="C36" s="60">
        <f>D36</f>
        <v>793.2</v>
      </c>
      <c r="D36" s="46">
        <v>793.2</v>
      </c>
      <c r="E36" s="46">
        <v>632.70000000000005</v>
      </c>
      <c r="F36" s="47">
        <v>614.5</v>
      </c>
      <c r="G36" s="43"/>
      <c r="H36" s="43"/>
      <c r="I36" s="43"/>
      <c r="J36" s="43"/>
    </row>
    <row r="37" spans="1:10" x14ac:dyDescent="0.25">
      <c r="A37" s="43"/>
      <c r="B37" s="64" t="s">
        <v>506</v>
      </c>
      <c r="C37" s="66">
        <f>O9</f>
        <v>4947</v>
      </c>
      <c r="D37" s="46"/>
      <c r="E37" s="46"/>
      <c r="F37" s="47"/>
      <c r="G37" s="43"/>
      <c r="H37" s="43"/>
      <c r="I37" s="43"/>
      <c r="J37" s="43"/>
    </row>
    <row r="38" spans="1:10" x14ac:dyDescent="0.25">
      <c r="A38" s="43"/>
      <c r="B38" s="48" t="s">
        <v>441</v>
      </c>
      <c r="C38" s="60">
        <f t="shared" ref="C38:C43" si="1">D38</f>
        <v>2168.1999999999998</v>
      </c>
      <c r="D38" s="50">
        <v>2168.1999999999998</v>
      </c>
      <c r="E38" s="50">
        <v>1434.4</v>
      </c>
      <c r="F38" s="51">
        <v>1728.7</v>
      </c>
      <c r="G38" s="43"/>
      <c r="H38" s="43"/>
      <c r="I38" s="43"/>
      <c r="J38" s="43"/>
    </row>
    <row r="39" spans="1:10" x14ac:dyDescent="0.25">
      <c r="A39" s="43"/>
      <c r="B39" s="64" t="str">
        <f>L10</f>
        <v>Deferred revenues</v>
      </c>
      <c r="C39" s="67">
        <f>O10</f>
        <v>878</v>
      </c>
      <c r="D39" s="50"/>
      <c r="E39" s="50"/>
      <c r="F39" s="51"/>
      <c r="G39" s="43"/>
      <c r="H39" s="43"/>
      <c r="I39" s="43"/>
      <c r="J39" s="43"/>
    </row>
    <row r="40" spans="1:10" x14ac:dyDescent="0.25">
      <c r="A40" s="43"/>
      <c r="B40" s="48" t="s">
        <v>442</v>
      </c>
      <c r="C40" s="60"/>
      <c r="D40" s="46" t="s">
        <v>346</v>
      </c>
      <c r="E40" s="46" t="s">
        <v>346</v>
      </c>
      <c r="F40" s="51">
        <v>1005.9</v>
      </c>
      <c r="G40" s="43"/>
      <c r="H40" s="43"/>
      <c r="I40" s="43"/>
      <c r="J40" s="43"/>
    </row>
    <row r="41" spans="1:10" x14ac:dyDescent="0.25">
      <c r="A41" s="43"/>
      <c r="B41" s="48" t="s">
        <v>443</v>
      </c>
      <c r="C41" s="60">
        <f t="shared" si="1"/>
        <v>457.4</v>
      </c>
      <c r="D41" s="46">
        <v>457.4</v>
      </c>
      <c r="E41" s="46">
        <v>453.9</v>
      </c>
      <c r="F41" s="47">
        <v>437.3</v>
      </c>
      <c r="G41" s="43"/>
      <c r="H41" s="43"/>
      <c r="I41" s="43"/>
      <c r="J41" s="43"/>
    </row>
    <row r="42" spans="1:10" x14ac:dyDescent="0.25">
      <c r="A42" s="43"/>
      <c r="B42" s="48" t="s">
        <v>444</v>
      </c>
      <c r="C42" s="60">
        <f t="shared" si="1"/>
        <v>1724.7</v>
      </c>
      <c r="D42" s="50">
        <v>1724.7</v>
      </c>
      <c r="E42" s="50">
        <v>1728.4</v>
      </c>
      <c r="F42" s="51">
        <v>1609.7</v>
      </c>
      <c r="G42" s="43"/>
      <c r="H42" s="43"/>
      <c r="I42" s="43"/>
      <c r="J42" s="43"/>
    </row>
    <row r="43" spans="1:10" x14ac:dyDescent="0.25">
      <c r="A43" s="43"/>
      <c r="B43" s="48" t="s">
        <v>445</v>
      </c>
      <c r="C43" s="60">
        <f t="shared" si="1"/>
        <v>4588.3999999999996</v>
      </c>
      <c r="D43" s="50">
        <v>4588.3999999999996</v>
      </c>
      <c r="E43" s="50">
        <v>4692.8999999999996</v>
      </c>
      <c r="F43" s="51">
        <v>4322.3999999999996</v>
      </c>
      <c r="G43" s="43"/>
      <c r="H43" s="43"/>
      <c r="I43" s="43"/>
      <c r="J43" s="43"/>
    </row>
    <row r="44" spans="1:10" x14ac:dyDescent="0.25">
      <c r="A44" s="43"/>
      <c r="B44" s="44" t="s">
        <v>446</v>
      </c>
      <c r="C44" s="60">
        <f>SUM(C35:C43)</f>
        <v>16133.9</v>
      </c>
      <c r="D44" s="50">
        <v>9731.9</v>
      </c>
      <c r="E44" s="50">
        <v>8942.2999999999993</v>
      </c>
      <c r="F44" s="51">
        <v>9718.5</v>
      </c>
      <c r="G44" s="43"/>
      <c r="H44" s="43"/>
      <c r="I44" s="43"/>
      <c r="J44" s="43"/>
    </row>
    <row r="45" spans="1:10" x14ac:dyDescent="0.25">
      <c r="A45" s="43"/>
      <c r="B45" s="44" t="s">
        <v>447</v>
      </c>
      <c r="C45" s="45"/>
      <c r="D45" s="46"/>
      <c r="E45" s="46"/>
      <c r="F45" s="47"/>
      <c r="G45" s="43"/>
      <c r="H45" s="43"/>
      <c r="I45" s="43"/>
      <c r="J45" s="43"/>
    </row>
    <row r="46" spans="1:10" x14ac:dyDescent="0.25">
      <c r="A46" s="43"/>
      <c r="B46" s="68" t="str">
        <f>L6</f>
        <v>Acquisition debt</v>
      </c>
      <c r="C46" s="69">
        <f>O6</f>
        <v>61700</v>
      </c>
      <c r="E46" s="46"/>
      <c r="F46" s="47"/>
      <c r="G46" s="43"/>
      <c r="H46" s="43"/>
      <c r="I46" s="43"/>
      <c r="J46" s="43"/>
    </row>
    <row r="47" spans="1:10" x14ac:dyDescent="0.25">
      <c r="A47" s="43"/>
      <c r="B47" s="68" t="str">
        <f>L7</f>
        <v>Net debt assumed (Studios &amp; Streaming)</v>
      </c>
      <c r="C47" s="69">
        <f>O7</f>
        <v>10700</v>
      </c>
      <c r="E47" s="46"/>
      <c r="F47" s="47"/>
      <c r="G47" s="43"/>
      <c r="H47" s="43"/>
      <c r="I47" s="43"/>
      <c r="J47" s="43"/>
    </row>
    <row r="48" spans="1:10" x14ac:dyDescent="0.25">
      <c r="A48" s="43"/>
      <c r="B48" s="48" t="s">
        <v>472</v>
      </c>
      <c r="C48" s="49">
        <f>D48</f>
        <v>14463</v>
      </c>
      <c r="D48" s="50">
        <v>14463</v>
      </c>
      <c r="E48" s="50">
        <v>14453.2</v>
      </c>
      <c r="F48" s="51">
        <v>14011</v>
      </c>
      <c r="G48" s="43"/>
      <c r="H48" s="43"/>
      <c r="I48" s="43"/>
      <c r="J48" s="43"/>
    </row>
    <row r="49" spans="1:10" x14ac:dyDescent="0.25">
      <c r="A49" s="43"/>
      <c r="B49" s="64" t="s">
        <v>508</v>
      </c>
      <c r="C49" s="70">
        <f>O12</f>
        <v>3571</v>
      </c>
      <c r="D49" s="50"/>
      <c r="E49" s="50"/>
      <c r="F49" s="51"/>
      <c r="G49" s="43"/>
      <c r="H49" s="43"/>
      <c r="I49" s="43"/>
      <c r="J49" s="43"/>
    </row>
    <row r="50" spans="1:10" x14ac:dyDescent="0.25">
      <c r="A50" s="43"/>
      <c r="B50" s="48" t="s">
        <v>448</v>
      </c>
      <c r="C50" s="60"/>
      <c r="D50" s="46" t="s">
        <v>346</v>
      </c>
      <c r="E50" s="46" t="s">
        <v>346</v>
      </c>
      <c r="F50" s="47" t="s">
        <v>346</v>
      </c>
      <c r="G50" s="43"/>
      <c r="H50" s="43"/>
      <c r="I50" s="43"/>
      <c r="J50" s="43"/>
    </row>
    <row r="51" spans="1:10" x14ac:dyDescent="0.25">
      <c r="A51" s="43"/>
      <c r="B51" s="48" t="s">
        <v>449</v>
      </c>
      <c r="C51" s="49">
        <f t="shared" ref="C51:C53" si="2">D51</f>
        <v>2163.1</v>
      </c>
      <c r="D51" s="50">
        <v>2163.1</v>
      </c>
      <c r="E51" s="50">
        <v>2026.8</v>
      </c>
      <c r="F51" s="51">
        <v>1969.3</v>
      </c>
      <c r="G51" s="43"/>
      <c r="H51" s="43"/>
      <c r="I51" s="43"/>
      <c r="J51" s="43"/>
    </row>
    <row r="52" spans="1:10" x14ac:dyDescent="0.25">
      <c r="A52" s="43"/>
      <c r="B52" s="52" t="s">
        <v>507</v>
      </c>
      <c r="C52" s="69">
        <f>O11</f>
        <v>5836</v>
      </c>
      <c r="D52" s="50"/>
      <c r="E52" s="50"/>
      <c r="F52" s="51"/>
      <c r="G52" s="43"/>
      <c r="H52" s="43"/>
      <c r="I52" s="43"/>
      <c r="J52" s="43"/>
    </row>
    <row r="53" spans="1:10" x14ac:dyDescent="0.25">
      <c r="A53" s="43"/>
      <c r="B53" s="48" t="s">
        <v>450</v>
      </c>
      <c r="C53" s="49">
        <f t="shared" si="2"/>
        <v>2622.8</v>
      </c>
      <c r="D53" s="50">
        <v>2622.8</v>
      </c>
      <c r="E53" s="50">
        <v>2725.4</v>
      </c>
      <c r="F53" s="51">
        <v>2360.6999999999998</v>
      </c>
      <c r="G53" s="43"/>
      <c r="H53" s="43"/>
      <c r="I53" s="43"/>
      <c r="J53" s="43"/>
    </row>
    <row r="54" spans="1:10" x14ac:dyDescent="0.25">
      <c r="A54" s="43"/>
      <c r="B54" s="61" t="s">
        <v>225</v>
      </c>
      <c r="C54" s="71">
        <f>SUM(C44:C53)</f>
        <v>117189.8</v>
      </c>
      <c r="D54" s="71">
        <f>SUM(D44:D53)</f>
        <v>28980.799999999999</v>
      </c>
      <c r="E54" s="71">
        <f>SUM(E44:E53)</f>
        <v>28147.7</v>
      </c>
      <c r="F54" s="72">
        <f>SUM(F44:F53)</f>
        <v>28059.5</v>
      </c>
      <c r="G54" s="43"/>
      <c r="H54" s="43"/>
      <c r="I54" s="43"/>
      <c r="J54" s="43"/>
    </row>
    <row r="55" spans="1:10" x14ac:dyDescent="0.25">
      <c r="A55" s="43"/>
      <c r="B55" s="44" t="s">
        <v>451</v>
      </c>
      <c r="C55" s="45"/>
      <c r="D55" s="46"/>
      <c r="E55" s="46"/>
      <c r="F55" s="47"/>
      <c r="G55" s="43"/>
      <c r="H55" s="43"/>
      <c r="I55" s="43"/>
      <c r="J55" s="43"/>
    </row>
    <row r="56" spans="1:10" x14ac:dyDescent="0.25">
      <c r="A56" s="43"/>
      <c r="B56" s="44" t="s">
        <v>473</v>
      </c>
      <c r="C56" s="45">
        <v>0</v>
      </c>
      <c r="D56" s="46"/>
      <c r="E56" s="46"/>
      <c r="F56" s="47"/>
      <c r="G56" s="43"/>
      <c r="H56" s="43"/>
      <c r="I56" s="43"/>
      <c r="J56" s="43"/>
    </row>
    <row r="57" spans="1:10" x14ac:dyDescent="0.25">
      <c r="A57" s="43"/>
      <c r="B57" s="48" t="s">
        <v>474</v>
      </c>
      <c r="C57" s="49">
        <f>C56+D57</f>
        <v>7080.3</v>
      </c>
      <c r="D57" s="50">
        <v>7080.3</v>
      </c>
      <c r="E57" s="50">
        <v>6932.8</v>
      </c>
      <c r="F57" s="51">
        <v>6677.5</v>
      </c>
      <c r="G57" s="43"/>
      <c r="H57" s="43"/>
      <c r="I57" s="43"/>
      <c r="J57" s="43"/>
    </row>
    <row r="58" spans="1:10" x14ac:dyDescent="0.25">
      <c r="A58" s="43"/>
      <c r="B58" s="48" t="s">
        <v>452</v>
      </c>
      <c r="C58" s="49">
        <f>D58</f>
        <v>39863.599999999999</v>
      </c>
      <c r="D58" s="50">
        <v>39863.599999999999</v>
      </c>
      <c r="E58" s="50">
        <v>37316.699999999997</v>
      </c>
      <c r="F58" s="51">
        <v>34191.300000000003</v>
      </c>
      <c r="G58" s="43"/>
      <c r="H58" s="43"/>
      <c r="I58" s="43"/>
      <c r="J58" s="43"/>
    </row>
    <row r="59" spans="1:10" x14ac:dyDescent="0.25">
      <c r="A59" s="43"/>
      <c r="B59" s="48" t="s">
        <v>453</v>
      </c>
      <c r="C59" s="49">
        <f>D59</f>
        <v>-20270.599999999999</v>
      </c>
      <c r="D59" s="50">
        <v>-20270.599999999999</v>
      </c>
      <c r="E59" s="50">
        <v>-18392.900000000001</v>
      </c>
      <c r="F59" s="51">
        <v>-16754.900000000001</v>
      </c>
      <c r="G59" s="43"/>
      <c r="H59" s="43"/>
      <c r="I59" s="43"/>
      <c r="J59" s="43"/>
    </row>
    <row r="60" spans="1:10" x14ac:dyDescent="0.25">
      <c r="A60" s="43"/>
      <c r="B60" s="48" t="s">
        <v>454</v>
      </c>
      <c r="C60" s="49">
        <f>D60</f>
        <v>-719.3</v>
      </c>
      <c r="D60" s="46">
        <v>-719.3</v>
      </c>
      <c r="E60" s="46">
        <v>-904.7</v>
      </c>
      <c r="F60" s="47">
        <v>-85.7</v>
      </c>
      <c r="G60" s="43"/>
      <c r="H60" s="43"/>
      <c r="I60" s="43"/>
      <c r="J60" s="43"/>
    </row>
    <row r="61" spans="1:10" x14ac:dyDescent="0.25">
      <c r="A61" s="43"/>
      <c r="B61" s="44" t="s">
        <v>455</v>
      </c>
      <c r="C61" s="54">
        <f>C33-C54</f>
        <v>25953.999999999985</v>
      </c>
      <c r="D61" s="50">
        <v>25954</v>
      </c>
      <c r="E61" s="50">
        <v>24951.9</v>
      </c>
      <c r="F61" s="51">
        <v>24028.1</v>
      </c>
      <c r="G61" s="43"/>
      <c r="H61" s="43"/>
      <c r="I61" s="43"/>
      <c r="J61" s="43"/>
    </row>
    <row r="62" spans="1:10" x14ac:dyDescent="0.25">
      <c r="A62" s="43"/>
      <c r="B62" s="44" t="s">
        <v>250</v>
      </c>
      <c r="C62" s="54">
        <f>C61</f>
        <v>25953.999999999985</v>
      </c>
      <c r="D62" s="50">
        <v>25954</v>
      </c>
      <c r="E62" s="50">
        <v>24951.9</v>
      </c>
      <c r="F62" s="51">
        <v>24028.1</v>
      </c>
      <c r="G62" s="43"/>
      <c r="H62" s="43"/>
      <c r="I62" s="43"/>
      <c r="J62" s="43"/>
    </row>
    <row r="63" spans="1:10" x14ac:dyDescent="0.25">
      <c r="A63" s="43"/>
      <c r="B63" s="44" t="s">
        <v>456</v>
      </c>
      <c r="C63" s="54">
        <f>C62+C54</f>
        <v>143143.79999999999</v>
      </c>
      <c r="D63" s="50">
        <v>54934.8</v>
      </c>
      <c r="E63" s="50">
        <v>53099.7</v>
      </c>
      <c r="F63" s="51">
        <v>52087.6</v>
      </c>
      <c r="G63" s="43"/>
      <c r="H63" s="43"/>
      <c r="I63" s="43"/>
      <c r="J63" s="43"/>
    </row>
    <row r="64" spans="1:10" x14ac:dyDescent="0.25">
      <c r="A64" s="43"/>
      <c r="B64" s="73" t="s">
        <v>457</v>
      </c>
      <c r="C64" s="74"/>
      <c r="D64" s="75"/>
      <c r="E64" s="75"/>
      <c r="F64" s="76"/>
      <c r="G64" s="43"/>
      <c r="H64" s="43"/>
      <c r="I64" s="43"/>
      <c r="J64" s="43"/>
    </row>
    <row r="65" spans="1:10" x14ac:dyDescent="0.25">
      <c r="A65" s="43"/>
      <c r="B65" s="48" t="s">
        <v>458</v>
      </c>
      <c r="C65" s="60"/>
      <c r="D65" s="50">
        <v>4237.3</v>
      </c>
      <c r="E65" s="50">
        <v>4249.3</v>
      </c>
      <c r="F65" s="51">
        <v>4256.8</v>
      </c>
      <c r="G65" s="43"/>
      <c r="H65" s="43"/>
      <c r="I65" s="43"/>
      <c r="J65" s="43"/>
    </row>
    <row r="66" spans="1:10" x14ac:dyDescent="0.25">
      <c r="A66" s="43"/>
      <c r="B66" s="48" t="s">
        <v>459</v>
      </c>
      <c r="C66" s="60"/>
      <c r="D66" s="50">
        <v>4237.3</v>
      </c>
      <c r="E66" s="50">
        <v>4249.3</v>
      </c>
      <c r="F66" s="51">
        <v>4256.8</v>
      </c>
      <c r="G66" s="43"/>
      <c r="H66" s="43"/>
      <c r="I66" s="43"/>
      <c r="J66" s="43"/>
    </row>
    <row r="67" spans="1:10" x14ac:dyDescent="0.25">
      <c r="A67" s="43"/>
      <c r="B67" s="48" t="s">
        <v>460</v>
      </c>
      <c r="C67" s="60"/>
      <c r="D67" s="46">
        <v>2.19</v>
      </c>
      <c r="E67" s="46">
        <v>1.92</v>
      </c>
      <c r="F67" s="47">
        <v>1.69</v>
      </c>
      <c r="G67" s="43"/>
      <c r="H67" s="43"/>
      <c r="I67" s="43"/>
      <c r="J67" s="43"/>
    </row>
    <row r="68" spans="1:10" x14ac:dyDescent="0.25">
      <c r="A68" s="43"/>
      <c r="B68" s="48" t="s">
        <v>461</v>
      </c>
      <c r="C68" s="60"/>
      <c r="D68" s="46">
        <v>6.13</v>
      </c>
      <c r="E68" s="46">
        <v>5.87</v>
      </c>
      <c r="F68" s="47">
        <v>5.64</v>
      </c>
      <c r="G68" s="43"/>
      <c r="H68" s="43"/>
      <c r="I68" s="43"/>
      <c r="J68" s="43"/>
    </row>
    <row r="69" spans="1:10" x14ac:dyDescent="0.25">
      <c r="A69" s="43"/>
      <c r="B69" s="48" t="s">
        <v>462</v>
      </c>
      <c r="C69" s="60"/>
      <c r="D69" s="50">
        <v>13771.8</v>
      </c>
      <c r="E69" s="50">
        <v>12678.8</v>
      </c>
      <c r="F69" s="51">
        <v>11635</v>
      </c>
      <c r="G69" s="43"/>
      <c r="H69" s="43"/>
      <c r="I69" s="43"/>
      <c r="J69" s="43"/>
    </row>
    <row r="70" spans="1:10" x14ac:dyDescent="0.25">
      <c r="A70" s="43"/>
      <c r="B70" s="48" t="s">
        <v>463</v>
      </c>
      <c r="C70" s="60"/>
      <c r="D70" s="46">
        <v>3.25</v>
      </c>
      <c r="E70" s="46">
        <v>2.98</v>
      </c>
      <c r="F70" s="47">
        <v>2.73</v>
      </c>
      <c r="G70" s="43"/>
      <c r="H70" s="43"/>
      <c r="I70" s="43"/>
      <c r="J70" s="43"/>
    </row>
    <row r="71" spans="1:10" x14ac:dyDescent="0.25">
      <c r="A71" s="43"/>
      <c r="B71" s="48" t="s">
        <v>464</v>
      </c>
      <c r="C71" s="60"/>
      <c r="D71" s="50">
        <v>17083.5</v>
      </c>
      <c r="E71" s="50">
        <v>16934</v>
      </c>
      <c r="F71" s="51">
        <v>17423.5</v>
      </c>
      <c r="G71" s="43"/>
      <c r="H71" s="43"/>
      <c r="I71" s="43"/>
      <c r="J71" s="43"/>
    </row>
    <row r="72" spans="1:10" x14ac:dyDescent="0.25">
      <c r="A72" s="43"/>
      <c r="B72" s="48" t="s">
        <v>465</v>
      </c>
      <c r="C72" s="60"/>
      <c r="D72" s="50">
        <v>7759.1</v>
      </c>
      <c r="E72" s="50">
        <v>8543.4</v>
      </c>
      <c r="F72" s="51">
        <v>9052.5</v>
      </c>
      <c r="G72" s="43"/>
      <c r="H72" s="43"/>
      <c r="I72" s="43"/>
      <c r="J72" s="43"/>
    </row>
    <row r="73" spans="1:10" x14ac:dyDescent="0.25">
      <c r="A73" s="43"/>
      <c r="B73" s="48" t="s">
        <v>466</v>
      </c>
      <c r="C73" s="60"/>
      <c r="D73" s="46">
        <v>81</v>
      </c>
      <c r="E73" s="46">
        <v>85</v>
      </c>
      <c r="F73" s="47">
        <v>85</v>
      </c>
      <c r="G73" s="43"/>
      <c r="H73" s="43"/>
      <c r="I73" s="43"/>
      <c r="J73" s="43"/>
    </row>
    <row r="74" spans="1:10" x14ac:dyDescent="0.25">
      <c r="A74" s="43"/>
      <c r="B74" s="48" t="s">
        <v>467</v>
      </c>
      <c r="C74" s="60"/>
      <c r="D74" s="46">
        <v>508.9</v>
      </c>
      <c r="E74" s="46">
        <v>508.3</v>
      </c>
      <c r="F74" s="47">
        <v>506.8</v>
      </c>
      <c r="G74" s="43"/>
      <c r="H74" s="43"/>
      <c r="I74" s="43"/>
      <c r="J74" s="43"/>
    </row>
    <row r="75" spans="1:10" x14ac:dyDescent="0.25">
      <c r="A75" s="43"/>
      <c r="B75" s="77" t="s">
        <v>468</v>
      </c>
      <c r="C75" s="78"/>
      <c r="D75" s="79">
        <v>246.9</v>
      </c>
      <c r="E75" s="79">
        <v>254.4</v>
      </c>
      <c r="F75" s="80">
        <v>251.4</v>
      </c>
      <c r="G75" s="43"/>
      <c r="H75" s="43"/>
      <c r="I75" s="43"/>
      <c r="J75" s="43"/>
    </row>
    <row r="76" spans="1:10" x14ac:dyDescent="0.25">
      <c r="A76" s="43"/>
      <c r="B76" s="43"/>
      <c r="C76" s="43"/>
      <c r="D76" s="43"/>
      <c r="E76" s="43"/>
      <c r="F76" s="43"/>
      <c r="G76" s="43"/>
      <c r="H76" s="43"/>
      <c r="I76" s="43"/>
      <c r="J76" s="43"/>
    </row>
    <row r="77" spans="1:10" x14ac:dyDescent="0.25">
      <c r="A77" s="43"/>
      <c r="B77" s="43"/>
      <c r="C77" s="43"/>
      <c r="D77" s="43"/>
      <c r="E77" s="43"/>
      <c r="F77" s="43"/>
      <c r="G77" s="43"/>
      <c r="H77" s="43"/>
      <c r="I77" s="43"/>
      <c r="J77" s="43"/>
    </row>
    <row r="78" spans="1:10" x14ac:dyDescent="0.25">
      <c r="A78" s="43"/>
      <c r="B78" s="43"/>
      <c r="C78" s="43"/>
      <c r="D78" s="43"/>
      <c r="E78" s="43"/>
      <c r="F78" s="43"/>
      <c r="G78" s="43"/>
      <c r="H78" s="43"/>
      <c r="I78" s="43"/>
      <c r="J78" s="43"/>
    </row>
    <row r="79" spans="1:10" x14ac:dyDescent="0.25">
      <c r="A79" s="43"/>
      <c r="B79" s="43"/>
      <c r="C79" s="43"/>
      <c r="D79" s="43"/>
      <c r="E79" s="43"/>
      <c r="F79" s="43"/>
      <c r="G79" s="43"/>
      <c r="H79" s="43"/>
      <c r="I79" s="43"/>
      <c r="J79" s="43"/>
    </row>
    <row r="80" spans="1:10" x14ac:dyDescent="0.25">
      <c r="A80" s="43"/>
      <c r="B80" s="43"/>
      <c r="C80" s="43"/>
      <c r="D80" s="43"/>
      <c r="E80" s="43"/>
      <c r="F80" s="43"/>
      <c r="G80" s="43"/>
      <c r="H80" s="43"/>
      <c r="I80" s="43"/>
      <c r="J80" s="43"/>
    </row>
    <row r="81" spans="1:10" x14ac:dyDescent="0.25">
      <c r="A81" s="43"/>
      <c r="B81" s="43"/>
      <c r="C81" s="43"/>
      <c r="D81" s="43"/>
      <c r="E81" s="43"/>
      <c r="F81" s="43"/>
      <c r="G81" s="43"/>
      <c r="H81" s="43"/>
      <c r="I81" s="43"/>
      <c r="J81" s="43"/>
    </row>
    <row r="82" spans="1:10" x14ac:dyDescent="0.25">
      <c r="A82" s="43"/>
      <c r="B82" s="43"/>
      <c r="C82" s="43"/>
      <c r="D82" s="43"/>
      <c r="E82" s="43"/>
      <c r="F82" s="43"/>
      <c r="G82" s="43"/>
      <c r="H82" s="43"/>
      <c r="I82" s="43"/>
      <c r="J82" s="43"/>
    </row>
    <row r="83" spans="1:10" x14ac:dyDescent="0.25">
      <c r="A83" s="43"/>
      <c r="B83" s="43"/>
      <c r="C83" s="43"/>
      <c r="D83" s="43"/>
      <c r="E83" s="43"/>
      <c r="F83" s="43"/>
      <c r="G83" s="43"/>
      <c r="H83" s="43"/>
      <c r="I83" s="43"/>
      <c r="J83" s="43"/>
    </row>
    <row r="84" spans="1:10" x14ac:dyDescent="0.25">
      <c r="A84" s="43"/>
      <c r="B84" s="43"/>
      <c r="C84" s="43"/>
      <c r="D84" s="43"/>
      <c r="E84" s="43"/>
      <c r="F84" s="43"/>
      <c r="G84" s="43"/>
      <c r="H84" s="43"/>
      <c r="I84" s="43"/>
      <c r="J84" s="43"/>
    </row>
    <row r="85" spans="1:10" x14ac:dyDescent="0.25">
      <c r="A85" s="43"/>
      <c r="B85" s="43"/>
      <c r="C85" s="43"/>
      <c r="D85" s="43"/>
      <c r="E85" s="43"/>
      <c r="F85" s="43"/>
      <c r="G85" s="43"/>
      <c r="H85" s="43"/>
      <c r="I85" s="43"/>
      <c r="J85" s="43"/>
    </row>
    <row r="86" spans="1:10" x14ac:dyDescent="0.25">
      <c r="A86" s="43"/>
      <c r="B86" s="43"/>
      <c r="C86" s="43"/>
      <c r="D86" s="43"/>
      <c r="E86" s="43"/>
      <c r="F86" s="43"/>
      <c r="G86" s="43"/>
      <c r="H86" s="43"/>
      <c r="I86" s="43"/>
      <c r="J86" s="43"/>
    </row>
    <row r="87" spans="1:10" x14ac:dyDescent="0.25">
      <c r="A87" s="43"/>
      <c r="B87" s="43"/>
      <c r="C87" s="43"/>
      <c r="D87" s="43"/>
      <c r="E87" s="43"/>
      <c r="F87" s="43"/>
      <c r="G87" s="43"/>
      <c r="H87" s="43"/>
      <c r="I87" s="43"/>
      <c r="J87" s="43"/>
    </row>
    <row r="88" spans="1:10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</row>
    <row r="89" spans="1:10" x14ac:dyDescent="0.25">
      <c r="A89" s="43"/>
      <c r="B89" s="43"/>
      <c r="C89" s="43"/>
      <c r="D89" s="43"/>
      <c r="E89" s="43"/>
      <c r="F89" s="43"/>
      <c r="G89" s="43"/>
      <c r="H89" s="43"/>
      <c r="I89" s="43"/>
      <c r="J89" s="43"/>
    </row>
    <row r="90" spans="1:10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</row>
    <row r="91" spans="1:10" x14ac:dyDescent="0.25">
      <c r="A91" s="43"/>
      <c r="B91" s="43"/>
      <c r="C91" s="43"/>
      <c r="D91" s="43"/>
      <c r="E91" s="43"/>
      <c r="F91" s="43"/>
      <c r="G91" s="43"/>
      <c r="H91" s="43"/>
      <c r="I91" s="43"/>
      <c r="J91" s="43"/>
    </row>
    <row r="92" spans="1:10" x14ac:dyDescent="0.25">
      <c r="A92" s="43"/>
      <c r="B92" s="43"/>
      <c r="C92" s="43"/>
      <c r="D92" s="43"/>
      <c r="E92" s="43"/>
      <c r="F92" s="43"/>
      <c r="G92" s="43"/>
      <c r="H92" s="43"/>
      <c r="I92" s="43"/>
      <c r="J92" s="43"/>
    </row>
    <row r="93" spans="1:10" x14ac:dyDescent="0.25">
      <c r="A93" s="43"/>
      <c r="B93" s="43"/>
      <c r="C93" s="43"/>
      <c r="D93" s="43"/>
      <c r="E93" s="43"/>
      <c r="F93" s="43"/>
      <c r="G93" s="43"/>
      <c r="H93" s="43"/>
      <c r="I93" s="43"/>
      <c r="J93" s="43"/>
    </row>
    <row r="94" spans="1:10" x14ac:dyDescent="0.25">
      <c r="A94" s="43"/>
      <c r="B94" s="43"/>
      <c r="C94" s="43"/>
      <c r="D94" s="43"/>
      <c r="E94" s="43"/>
      <c r="F94" s="43"/>
      <c r="G94" s="43"/>
      <c r="H94" s="43"/>
      <c r="I94" s="43"/>
      <c r="J94" s="43"/>
    </row>
    <row r="95" spans="1:10" x14ac:dyDescent="0.25">
      <c r="A95" s="43"/>
      <c r="B95" s="43"/>
      <c r="C95" s="43"/>
      <c r="D95" s="43"/>
      <c r="E95" s="43"/>
      <c r="F95" s="43"/>
      <c r="G95" s="43"/>
      <c r="H95" s="43"/>
      <c r="I95" s="43"/>
      <c r="J95" s="43"/>
    </row>
    <row r="96" spans="1:10" x14ac:dyDescent="0.25">
      <c r="A96" s="43"/>
      <c r="B96" s="43"/>
      <c r="C96" s="43"/>
      <c r="D96" s="43"/>
      <c r="E96" s="43"/>
      <c r="F96" s="43"/>
      <c r="G96" s="43"/>
      <c r="H96" s="43"/>
      <c r="I96" s="43"/>
      <c r="J96" s="43"/>
    </row>
    <row r="97" spans="1:10" x14ac:dyDescent="0.25">
      <c r="A97" s="43"/>
      <c r="B97" s="43"/>
      <c r="C97" s="43"/>
      <c r="D97" s="43"/>
      <c r="E97" s="43"/>
      <c r="F97" s="43"/>
      <c r="G97" s="43"/>
      <c r="H97" s="43"/>
      <c r="I97" s="43"/>
      <c r="J97" s="43"/>
    </row>
    <row r="98" spans="1:10" x14ac:dyDescent="0.25">
      <c r="A98" s="43"/>
      <c r="B98" s="43"/>
      <c r="C98" s="43"/>
      <c r="D98" s="43"/>
      <c r="E98" s="43"/>
      <c r="F98" s="43"/>
      <c r="G98" s="43"/>
      <c r="H98" s="43"/>
      <c r="I98" s="43"/>
      <c r="J98" s="43"/>
    </row>
    <row r="99" spans="1:10" x14ac:dyDescent="0.25">
      <c r="A99" s="43"/>
      <c r="B99" s="43"/>
      <c r="C99" s="43"/>
      <c r="D99" s="43"/>
      <c r="E99" s="43"/>
      <c r="F99" s="43"/>
      <c r="G99" s="43"/>
      <c r="H99" s="43"/>
      <c r="I99" s="43"/>
      <c r="J99" s="43"/>
    </row>
    <row r="100" spans="1:10" x14ac:dyDescent="0.25">
      <c r="A100" s="43"/>
      <c r="B100" s="43"/>
      <c r="C100" s="43"/>
      <c r="D100" s="43"/>
      <c r="E100" s="43"/>
      <c r="F100" s="43"/>
      <c r="G100" s="43"/>
      <c r="H100" s="43"/>
      <c r="I100" s="43"/>
      <c r="J100" s="43"/>
    </row>
    <row r="101" spans="1:10" x14ac:dyDescent="0.25">
      <c r="A101" s="43"/>
      <c r="B101" s="43"/>
      <c r="C101" s="43"/>
      <c r="D101" s="43"/>
      <c r="E101" s="43"/>
      <c r="F101" s="43"/>
      <c r="G101" s="43"/>
      <c r="H101" s="43"/>
      <c r="I101" s="43"/>
      <c r="J101" s="43"/>
    </row>
    <row r="102" spans="1:10" x14ac:dyDescent="0.25">
      <c r="B102" s="43"/>
      <c r="C102" s="43"/>
      <c r="D102" s="43"/>
      <c r="E102" s="43"/>
      <c r="F102" s="43"/>
      <c r="G102" s="43"/>
      <c r="H102" s="43"/>
      <c r="I102" s="43"/>
      <c r="J102" s="43"/>
    </row>
    <row r="103" spans="1:10" x14ac:dyDescent="0.25">
      <c r="B103" s="43"/>
      <c r="C103" s="43"/>
      <c r="D103" s="43"/>
      <c r="E103" s="43"/>
      <c r="F103" s="43"/>
      <c r="G103" s="43"/>
      <c r="H103" s="43"/>
      <c r="I103" s="43"/>
      <c r="J103" s="43"/>
    </row>
    <row r="104" spans="1:10" x14ac:dyDescent="0.25">
      <c r="B104" s="43"/>
      <c r="C104" s="43"/>
      <c r="D104" s="43"/>
      <c r="E104" s="43"/>
      <c r="F104" s="43"/>
      <c r="G104" s="43"/>
      <c r="H104" s="43"/>
      <c r="I104" s="43"/>
      <c r="J104" s="43"/>
    </row>
    <row r="105" spans="1:10" x14ac:dyDescent="0.25">
      <c r="B105" s="43"/>
      <c r="C105" s="43"/>
      <c r="D105" s="43"/>
      <c r="E105" s="43"/>
      <c r="F105" s="43"/>
      <c r="H105" s="43"/>
      <c r="I105" s="43"/>
      <c r="J105" s="43"/>
    </row>
    <row r="106" spans="1:10" x14ac:dyDescent="0.25">
      <c r="B106" s="43"/>
      <c r="C106" s="43"/>
      <c r="D106" s="43"/>
      <c r="E106" s="43"/>
      <c r="F106" s="43"/>
    </row>
    <row r="107" spans="1:10" x14ac:dyDescent="0.25">
      <c r="B107" s="43"/>
      <c r="C107" s="43"/>
      <c r="D107" s="43"/>
      <c r="E107" s="43"/>
      <c r="F107" s="43"/>
    </row>
    <row r="108" spans="1:10" x14ac:dyDescent="0.25">
      <c r="B108" s="43"/>
      <c r="C108" s="43"/>
      <c r="D108" s="43"/>
      <c r="E108" s="43"/>
      <c r="F108" s="43"/>
    </row>
    <row r="109" spans="1:10" x14ac:dyDescent="0.25">
      <c r="B109" s="43"/>
      <c r="C109" s="43"/>
      <c r="D109" s="43"/>
      <c r="E109" s="43"/>
      <c r="F109" s="43"/>
    </row>
    <row r="110" spans="1:10" x14ac:dyDescent="0.25">
      <c r="B110" s="43"/>
      <c r="C110" s="43"/>
      <c r="D110" s="43"/>
      <c r="E110" s="43"/>
      <c r="F110" s="43"/>
    </row>
    <row r="111" spans="1:10" x14ac:dyDescent="0.25">
      <c r="B111" s="43"/>
      <c r="C111" s="43"/>
      <c r="D111" s="43"/>
      <c r="E111" s="43"/>
      <c r="F111" s="43"/>
    </row>
    <row r="112" spans="1:10" x14ac:dyDescent="0.25">
      <c r="B112" s="43"/>
      <c r="C112" s="43"/>
      <c r="D112" s="43"/>
      <c r="E112" s="43"/>
      <c r="F112" s="43"/>
    </row>
    <row r="113" spans="2:6" x14ac:dyDescent="0.25">
      <c r="B113" s="43"/>
      <c r="C113" s="43"/>
      <c r="D113" s="43"/>
      <c r="E113" s="43"/>
      <c r="F113" s="43"/>
    </row>
    <row r="114" spans="2:6" x14ac:dyDescent="0.25">
      <c r="B114" s="43"/>
      <c r="C114" s="43"/>
      <c r="D114" s="43"/>
      <c r="E114" s="43"/>
      <c r="F114" s="43"/>
    </row>
    <row r="115" spans="2:6" x14ac:dyDescent="0.25">
      <c r="B115" s="43"/>
      <c r="C115" s="43"/>
      <c r="D115" s="43"/>
      <c r="E115" s="43"/>
      <c r="F115" s="43"/>
    </row>
    <row r="116" spans="2:6" x14ac:dyDescent="0.25">
      <c r="B116" s="43"/>
      <c r="C116" s="43"/>
      <c r="D116" s="43"/>
      <c r="E116" s="43"/>
      <c r="F116" s="43"/>
    </row>
    <row r="117" spans="2:6" x14ac:dyDescent="0.25">
      <c r="B117" s="43"/>
      <c r="C117" s="43"/>
      <c r="D117" s="43"/>
      <c r="E117" s="43"/>
      <c r="F117" s="43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7F99-4F78-43CB-B47B-146B52272338}">
  <dimension ref="A2:H58"/>
  <sheetViews>
    <sheetView showGridLines="0" zoomScale="145" zoomScaleNormal="145" workbookViewId="0">
      <selection activeCell="C3" sqref="C3"/>
    </sheetView>
  </sheetViews>
  <sheetFormatPr defaultRowHeight="15" x14ac:dyDescent="0.25"/>
  <cols>
    <col min="1" max="1" width="9.140625" style="2"/>
    <col min="2" max="2" width="24.140625" style="2" bestFit="1" customWidth="1"/>
    <col min="3" max="3" width="11.28515625" style="2" bestFit="1" customWidth="1"/>
    <col min="4" max="4" width="12.5703125" style="2" bestFit="1" customWidth="1"/>
    <col min="5" max="5" width="3.28515625" style="2" customWidth="1"/>
    <col min="6" max="6" width="26.7109375" style="2" bestFit="1" customWidth="1"/>
    <col min="7" max="7" width="11.85546875" style="2" bestFit="1" customWidth="1"/>
    <col min="8" max="8" width="13.5703125" style="2" bestFit="1" customWidth="1"/>
    <col min="9" max="16384" width="9.140625" style="2"/>
  </cols>
  <sheetData>
    <row r="2" spans="1:8" ht="26.25" x14ac:dyDescent="0.25">
      <c r="B2" s="1" t="s">
        <v>535</v>
      </c>
      <c r="C2" s="1"/>
      <c r="D2" s="1"/>
      <c r="E2" s="1"/>
      <c r="F2" s="1"/>
      <c r="G2" s="1"/>
      <c r="H2" s="1"/>
    </row>
    <row r="3" spans="1:8" ht="14.25" customHeight="1" x14ac:dyDescent="0.25">
      <c r="A3" s="4"/>
      <c r="B3" s="254" t="s">
        <v>591</v>
      </c>
      <c r="C3" s="252" t="str" cm="1">
        <f t="array" ref="C3">_xlfn.IFS('IS Analysis '!C3=1,"Conservative",'IS Analysis '!C3=2,"Normal",'IS Analysis '!C3=3,"Optimistic")</f>
        <v>Normal</v>
      </c>
      <c r="D3" s="4"/>
      <c r="E3" s="4"/>
      <c r="F3" s="4"/>
      <c r="G3" s="4"/>
      <c r="H3" s="4"/>
    </row>
    <row r="4" spans="1:8" ht="6" customHeight="1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5" t="s">
        <v>367</v>
      </c>
      <c r="C5" s="6" t="s">
        <v>368</v>
      </c>
      <c r="D5" s="7" t="s">
        <v>476</v>
      </c>
      <c r="E5" s="4"/>
      <c r="F5" s="5" t="s">
        <v>512</v>
      </c>
      <c r="G5" s="6" t="s">
        <v>380</v>
      </c>
      <c r="H5" s="7" t="s">
        <v>476</v>
      </c>
    </row>
    <row r="6" spans="1:8" x14ac:dyDescent="0.25">
      <c r="A6" s="4"/>
      <c r="B6" s="8" t="s">
        <v>479</v>
      </c>
      <c r="C6" s="9">
        <f>'IS Analysis '!P36</f>
        <v>12220.76825844451</v>
      </c>
      <c r="D6" s="10">
        <f>'IS Analysis '!Q36</f>
        <v>10431.286999999997</v>
      </c>
      <c r="E6" s="4"/>
      <c r="F6" s="8" t="s">
        <v>513</v>
      </c>
      <c r="G6" s="216">
        <f>'IS Analysis '!P17/'IS Analysis '!P15</f>
        <v>0.47754636479034474</v>
      </c>
      <c r="H6" s="217">
        <f>'IS Analysis '!Q17/'IS Analysis '!Q15</f>
        <v>0.48085058256700441</v>
      </c>
    </row>
    <row r="7" spans="1:8" x14ac:dyDescent="0.25">
      <c r="A7" s="4"/>
      <c r="B7" s="8" t="s">
        <v>480</v>
      </c>
      <c r="C7" s="9">
        <f>'BS Analysis '!C33</f>
        <v>143143.79999999999</v>
      </c>
      <c r="D7" s="10">
        <f>'BS Analysis '!D33</f>
        <v>54934.8</v>
      </c>
      <c r="E7" s="4"/>
      <c r="F7" s="8" t="s">
        <v>514</v>
      </c>
      <c r="G7" s="11">
        <f>'IS Analysis '!P22/'IS Analysis '!P15</f>
        <v>0.25995868906962166</v>
      </c>
      <c r="H7" s="12">
        <f>'IS Analysis '!Q22/'IS Analysis '!Q15</f>
        <v>0.2914490439762642</v>
      </c>
    </row>
    <row r="8" spans="1:8" x14ac:dyDescent="0.25">
      <c r="A8" s="4"/>
      <c r="B8" s="13" t="s">
        <v>477</v>
      </c>
      <c r="C8" s="14">
        <f>C6/C7</f>
        <v>8.5374066207858895E-2</v>
      </c>
      <c r="D8" s="15">
        <f>D6/D7</f>
        <v>0.18988486351092559</v>
      </c>
      <c r="E8" s="4"/>
      <c r="F8" s="16" t="s">
        <v>515</v>
      </c>
      <c r="G8" s="17">
        <f>'IS Analysis '!P36/'IS Analysis '!P15</f>
        <v>0.17369016475955878</v>
      </c>
      <c r="H8" s="18">
        <f>'IS Analysis '!Q36/'IS Analysis '!Q15</f>
        <v>0.2404697715498591</v>
      </c>
    </row>
    <row r="9" spans="1:8" x14ac:dyDescent="0.25">
      <c r="A9" s="4"/>
      <c r="B9" s="8"/>
      <c r="C9" s="4"/>
      <c r="D9" s="19"/>
      <c r="E9" s="4"/>
      <c r="F9" s="4"/>
      <c r="G9" s="4"/>
      <c r="H9" s="4"/>
    </row>
    <row r="10" spans="1:8" x14ac:dyDescent="0.25">
      <c r="A10" s="4"/>
      <c r="B10" s="8" t="s">
        <v>371</v>
      </c>
      <c r="C10" s="9">
        <f>'IS Analysis '!P22</f>
        <v>18290.585999999996</v>
      </c>
      <c r="D10" s="10">
        <f>'IS Analysis '!Q22</f>
        <v>12642.705999999996</v>
      </c>
      <c r="E10" s="4"/>
      <c r="F10" s="4"/>
      <c r="G10" s="4"/>
      <c r="H10" s="4"/>
    </row>
    <row r="11" spans="1:8" x14ac:dyDescent="0.25">
      <c r="A11" s="4"/>
      <c r="B11" s="13" t="s">
        <v>481</v>
      </c>
      <c r="C11" s="14">
        <f>C10/C7</f>
        <v>0.1277777032606372</v>
      </c>
      <c r="D11" s="15">
        <f>D10/D7</f>
        <v>0.23014020256740711</v>
      </c>
      <c r="E11" s="4"/>
      <c r="F11" s="20" t="s">
        <v>522</v>
      </c>
      <c r="G11" s="21" t="str">
        <f>G5</f>
        <v xml:space="preserve">After Merger </v>
      </c>
      <c r="H11" s="22" t="str">
        <f>H5</f>
        <v xml:space="preserve">Before Merger </v>
      </c>
    </row>
    <row r="12" spans="1:8" x14ac:dyDescent="0.25">
      <c r="A12" s="4"/>
      <c r="B12" s="8"/>
      <c r="C12" s="4"/>
      <c r="D12" s="19"/>
      <c r="E12" s="4"/>
      <c r="F12" s="23" t="s">
        <v>523</v>
      </c>
      <c r="G12" s="24"/>
      <c r="H12" s="25"/>
    </row>
    <row r="13" spans="1:8" x14ac:dyDescent="0.25">
      <c r="A13" s="4"/>
      <c r="B13" s="8" t="s">
        <v>510</v>
      </c>
      <c r="C13" s="26">
        <f>'BS Analysis '!C62</f>
        <v>25953.999999999985</v>
      </c>
      <c r="D13" s="27">
        <f>'BS Analysis '!D62</f>
        <v>25954</v>
      </c>
      <c r="E13" s="4"/>
      <c r="F13" s="8" t="s">
        <v>527</v>
      </c>
      <c r="G13" s="28">
        <f>H13</f>
        <v>17083.5</v>
      </c>
      <c r="H13" s="29">
        <f>'BS Analysis '!D71</f>
        <v>17083.5</v>
      </c>
    </row>
    <row r="14" spans="1:8" x14ac:dyDescent="0.25">
      <c r="A14" s="4"/>
      <c r="B14" s="13" t="s">
        <v>478</v>
      </c>
      <c r="C14" s="212">
        <f>C6/C13</f>
        <v>0.47086261302475602</v>
      </c>
      <c r="D14" s="173">
        <f>D6/D13</f>
        <v>0.4019144255220774</v>
      </c>
      <c r="E14" s="4"/>
      <c r="F14" s="8" t="s">
        <v>528</v>
      </c>
      <c r="G14" s="28">
        <f>'BS Analysis '!O6+'BS Analysis '!O7</f>
        <v>72400</v>
      </c>
      <c r="H14" s="29"/>
    </row>
    <row r="15" spans="1:8" x14ac:dyDescent="0.25">
      <c r="A15" s="4"/>
      <c r="B15" s="4"/>
      <c r="C15" s="4"/>
      <c r="D15" s="4"/>
      <c r="E15" s="4"/>
      <c r="F15" s="8" t="s">
        <v>27</v>
      </c>
      <c r="G15" s="28">
        <f>G13+G14</f>
        <v>89483.5</v>
      </c>
      <c r="H15" s="29">
        <f>H13+H14</f>
        <v>17083.5</v>
      </c>
    </row>
    <row r="16" spans="1:8" x14ac:dyDescent="0.25">
      <c r="A16" s="4"/>
      <c r="B16" s="4"/>
      <c r="C16" s="4"/>
      <c r="D16" s="4"/>
      <c r="E16" s="4"/>
      <c r="F16" s="8" t="s">
        <v>509</v>
      </c>
      <c r="G16" s="28">
        <f>'BS Analysis '!C62</f>
        <v>25953.999999999985</v>
      </c>
      <c r="H16" s="29">
        <f>'BS Analysis '!D62</f>
        <v>25954</v>
      </c>
    </row>
    <row r="17" spans="1:8" x14ac:dyDescent="0.25">
      <c r="A17" s="4"/>
      <c r="E17" s="4"/>
      <c r="F17" s="13" t="s">
        <v>523</v>
      </c>
      <c r="G17" s="32">
        <f>G15/G16</f>
        <v>3.4477729829698718</v>
      </c>
      <c r="H17" s="33">
        <f t="shared" ref="H17" si="0">H15/H16</f>
        <v>0.65822223934653623</v>
      </c>
    </row>
    <row r="18" spans="1:8" x14ac:dyDescent="0.25">
      <c r="A18" s="4"/>
      <c r="B18" s="224" t="s">
        <v>574</v>
      </c>
      <c r="C18" s="224" t="s">
        <v>575</v>
      </c>
      <c r="D18" s="224" t="s">
        <v>576</v>
      </c>
      <c r="E18" s="4"/>
      <c r="F18" s="213" t="s">
        <v>524</v>
      </c>
      <c r="G18" s="214">
        <f>G15/(G15+G16)</f>
        <v>0.77516838115863573</v>
      </c>
      <c r="H18" s="215">
        <f t="shared" ref="H18" si="1">H15/(H15+H16)</f>
        <v>0.39694452512343886</v>
      </c>
    </row>
    <row r="19" spans="1:8" x14ac:dyDescent="0.25">
      <c r="A19" s="4"/>
      <c r="B19" s="227" t="s">
        <v>577</v>
      </c>
      <c r="C19" s="228"/>
      <c r="D19" s="228"/>
      <c r="E19" s="4"/>
      <c r="F19" s="8"/>
      <c r="G19" s="26"/>
      <c r="H19" s="27"/>
    </row>
    <row r="20" spans="1:8" x14ac:dyDescent="0.25">
      <c r="A20" s="4"/>
      <c r="B20" s="4" t="s">
        <v>578</v>
      </c>
      <c r="C20" s="249">
        <f>'IS Analysis '!P22</f>
        <v>18290.585999999996</v>
      </c>
      <c r="D20" s="249">
        <f>'IS Analysis '!Q22</f>
        <v>12642.705999999996</v>
      </c>
      <c r="E20" s="4"/>
      <c r="F20" s="23" t="s">
        <v>525</v>
      </c>
      <c r="G20" s="34"/>
      <c r="H20" s="35"/>
    </row>
    <row r="21" spans="1:8" x14ac:dyDescent="0.25">
      <c r="A21" s="4"/>
      <c r="B21" s="4" t="s">
        <v>579</v>
      </c>
      <c r="C21" s="250">
        <f>'IS Analysis '!P44</f>
        <v>0.1371313728696785</v>
      </c>
      <c r="D21" s="250">
        <f>'IS Analysis '!P44</f>
        <v>0.1371313728696785</v>
      </c>
      <c r="E21" s="4"/>
      <c r="F21" s="8" t="s">
        <v>480</v>
      </c>
      <c r="G21" s="28">
        <f>'BS Analysis '!C33</f>
        <v>143143.79999999999</v>
      </c>
      <c r="H21" s="29">
        <f>'BS Analysis '!D33</f>
        <v>54934.8</v>
      </c>
    </row>
    <row r="22" spans="1:8" x14ac:dyDescent="0.25">
      <c r="A22" s="4"/>
      <c r="B22" s="226" t="s">
        <v>580</v>
      </c>
      <c r="C22" s="251">
        <f>C20*(1-C21)</f>
        <v>15782.372831229075</v>
      </c>
      <c r="D22" s="251">
        <f>D20*(1-D21)</f>
        <v>10908.994369432276</v>
      </c>
      <c r="E22" s="4"/>
      <c r="F22" s="8" t="s">
        <v>529</v>
      </c>
      <c r="G22" s="28">
        <f>-'BS Analysis '!C27</f>
        <v>-33008.9</v>
      </c>
      <c r="H22" s="29">
        <f>-'BS Analysis '!D27</f>
        <v>0</v>
      </c>
    </row>
    <row r="23" spans="1:8" x14ac:dyDescent="0.25">
      <c r="A23" s="4"/>
      <c r="B23" s="4"/>
      <c r="C23" s="4"/>
      <c r="D23" s="4"/>
      <c r="E23" s="4"/>
      <c r="F23" s="8" t="s">
        <v>530</v>
      </c>
      <c r="G23" s="28">
        <f>-'BS Analysis '!C39</f>
        <v>-878</v>
      </c>
      <c r="H23" s="29">
        <f>-'BS Analysis '!D39</f>
        <v>0</v>
      </c>
    </row>
    <row r="24" spans="1:8" x14ac:dyDescent="0.25">
      <c r="A24" s="4"/>
      <c r="B24" s="227" t="s">
        <v>581</v>
      </c>
      <c r="C24" s="228"/>
      <c r="D24" s="228"/>
      <c r="E24" s="4"/>
      <c r="F24" s="8" t="s">
        <v>531</v>
      </c>
      <c r="G24" s="28">
        <f>G21+SUM(G22:G23)</f>
        <v>109256.9</v>
      </c>
      <c r="H24" s="29">
        <f>H21+SUM(H22:H23)</f>
        <v>54934.8</v>
      </c>
    </row>
    <row r="25" spans="1:8" x14ac:dyDescent="0.25">
      <c r="A25" s="4"/>
      <c r="B25" s="4" t="s">
        <v>582</v>
      </c>
      <c r="C25" s="249">
        <f>'BS Analysis '!C33</f>
        <v>143143.79999999999</v>
      </c>
      <c r="D25" s="249">
        <f>'BS Analysis '!D33</f>
        <v>54934.8</v>
      </c>
      <c r="E25" s="4"/>
      <c r="F25" s="13" t="s">
        <v>525</v>
      </c>
      <c r="G25" s="218">
        <f>G24/G16</f>
        <v>4.2096362795715514</v>
      </c>
      <c r="H25" s="120">
        <f>H24/H16</f>
        <v>2.1166217153425291</v>
      </c>
    </row>
    <row r="26" spans="1:8" x14ac:dyDescent="0.25">
      <c r="A26" s="4"/>
      <c r="B26" s="4" t="s">
        <v>583</v>
      </c>
      <c r="C26" s="249">
        <f>-'BS Analysis '!C9</f>
        <v>975.60000000000036</v>
      </c>
      <c r="D26" s="249">
        <f>-'BS Analysis '!D9</f>
        <v>-9324.4</v>
      </c>
      <c r="E26" s="4"/>
      <c r="F26" s="8"/>
      <c r="G26" s="36"/>
      <c r="H26" s="37"/>
    </row>
    <row r="27" spans="1:8" x14ac:dyDescent="0.25">
      <c r="A27" s="4"/>
      <c r="B27" s="4" t="s">
        <v>584</v>
      </c>
      <c r="C27" s="249">
        <f>-('BS Analysis '!C35+'BS Analysis '!C36)</f>
        <v>-1370.2</v>
      </c>
      <c r="D27" s="249">
        <f>-'BS Analysis '!D36</f>
        <v>-793.2</v>
      </c>
      <c r="E27" s="4"/>
      <c r="F27" s="23" t="s">
        <v>526</v>
      </c>
      <c r="G27" s="24"/>
      <c r="H27" s="25"/>
    </row>
    <row r="28" spans="1:8" x14ac:dyDescent="0.25">
      <c r="A28" s="4"/>
      <c r="B28" s="4" t="s">
        <v>585</v>
      </c>
      <c r="C28" s="249">
        <f>-('BS Analysis '!C37+'BS Analysis '!C38)</f>
        <v>-7115.2</v>
      </c>
      <c r="D28" s="249">
        <f>-'BS Analysis '!D38</f>
        <v>-2168.1999999999998</v>
      </c>
      <c r="E28" s="4"/>
      <c r="F28" s="8" t="s">
        <v>532</v>
      </c>
      <c r="G28" s="38">
        <f>('IS Analysis '!P22+'IS Analysis '!$P$20)</f>
        <v>16010.885999999995</v>
      </c>
      <c r="H28" s="39">
        <f>('IS Analysis '!Q22+'IS Analysis '!$P$20)</f>
        <v>10363.005999999996</v>
      </c>
    </row>
    <row r="29" spans="1:8" x14ac:dyDescent="0.25">
      <c r="A29" s="4"/>
      <c r="B29" s="4" t="s">
        <v>586</v>
      </c>
      <c r="C29" s="249">
        <f>-('BS Analysis '!C39+'BS Analysis '!C42)</f>
        <v>-2602.6999999999998</v>
      </c>
      <c r="D29" s="249">
        <f>-('BS Analysis '!D42)</f>
        <v>-1724.7</v>
      </c>
      <c r="E29" s="4"/>
      <c r="F29" s="13" t="s">
        <v>526</v>
      </c>
      <c r="G29" s="41">
        <f>G15/G28</f>
        <v>5.5889161911464509</v>
      </c>
      <c r="H29" s="42">
        <f>H15/H28</f>
        <v>1.64850816452292</v>
      </c>
    </row>
    <row r="30" spans="1:8" x14ac:dyDescent="0.25">
      <c r="A30" s="4"/>
      <c r="B30" s="4" t="s">
        <v>587</v>
      </c>
      <c r="C30" s="249">
        <f>-'BS Analysis '!C43</f>
        <v>-4588.3999999999996</v>
      </c>
      <c r="D30" s="249">
        <f>-'BS Analysis '!D43</f>
        <v>-4588.3999999999996</v>
      </c>
      <c r="E30" s="4"/>
      <c r="F30" s="8"/>
      <c r="G30" s="4"/>
      <c r="H30" s="19"/>
    </row>
    <row r="31" spans="1:8" x14ac:dyDescent="0.25">
      <c r="A31" s="4"/>
      <c r="B31" s="4" t="s">
        <v>588</v>
      </c>
      <c r="C31" s="249">
        <f>-'BS Analysis '!C49</f>
        <v>-3571</v>
      </c>
      <c r="D31" s="249">
        <f>-IF(ISNUMBER('BS Analysis '!D50),'BS Analysis '!D50,0)</f>
        <v>0</v>
      </c>
      <c r="E31" s="4"/>
      <c r="F31" s="23" t="s">
        <v>533</v>
      </c>
      <c r="G31" s="24"/>
      <c r="H31" s="25"/>
    </row>
    <row r="32" spans="1:8" x14ac:dyDescent="0.25">
      <c r="A32" s="4"/>
      <c r="B32" s="226" t="s">
        <v>589</v>
      </c>
      <c r="C32" s="251">
        <f>SUM(C25:C31)</f>
        <v>124871.89999999997</v>
      </c>
      <c r="D32" s="251">
        <f>SUM(D25:D31)</f>
        <v>36335.900000000009</v>
      </c>
      <c r="E32" s="4"/>
      <c r="F32" s="8" t="s">
        <v>534</v>
      </c>
      <c r="G32" s="38">
        <f>'IS Analysis '!P22</f>
        <v>18290.585999999996</v>
      </c>
      <c r="H32" s="39">
        <f>'IS Analysis '!Q22</f>
        <v>12642.705999999996</v>
      </c>
    </row>
    <row r="33" spans="1:8" x14ac:dyDescent="0.25">
      <c r="A33" s="4"/>
      <c r="B33" s="4"/>
      <c r="C33" s="4"/>
      <c r="D33" s="4"/>
      <c r="E33" s="4"/>
      <c r="F33" s="8" t="s">
        <v>394</v>
      </c>
      <c r="G33" s="38">
        <f>'IS Analysis '!P24</f>
        <v>-5072.250949494347</v>
      </c>
      <c r="H33" s="39">
        <f>'IS Analysis '!Q24</f>
        <v>-734.71799999999996</v>
      </c>
    </row>
    <row r="34" spans="1:8" x14ac:dyDescent="0.25">
      <c r="A34" s="4"/>
      <c r="B34" s="252" t="s">
        <v>590</v>
      </c>
      <c r="C34" s="253">
        <f>C22/C32</f>
        <v>0.12638850559036163</v>
      </c>
      <c r="D34" s="253">
        <f>D22/D32</f>
        <v>0.30022634280235999</v>
      </c>
      <c r="E34" s="4"/>
      <c r="F34" s="13" t="s">
        <v>533</v>
      </c>
      <c r="G34" s="41">
        <f>G32/-G33</f>
        <v>3.606009675413119</v>
      </c>
      <c r="H34" s="42">
        <f>H32/-H33</f>
        <v>17.20756262947144</v>
      </c>
    </row>
    <row r="35" spans="1:8" x14ac:dyDescent="0.25">
      <c r="A35" s="4"/>
      <c r="C35" s="255"/>
      <c r="E35" s="4"/>
      <c r="F35" s="4"/>
      <c r="G35" s="4"/>
      <c r="H35" s="4"/>
    </row>
    <row r="36" spans="1:8" x14ac:dyDescent="0.25">
      <c r="F36" s="224" t="s">
        <v>592</v>
      </c>
      <c r="G36" s="224" t="s">
        <v>575</v>
      </c>
      <c r="H36" s="224" t="s">
        <v>576</v>
      </c>
    </row>
    <row r="37" spans="1:8" x14ac:dyDescent="0.25">
      <c r="F37" s="227" t="s">
        <v>593</v>
      </c>
      <c r="G37" s="256"/>
      <c r="H37" s="256"/>
    </row>
    <row r="38" spans="1:8" x14ac:dyDescent="0.25">
      <c r="F38" s="4" t="s">
        <v>594</v>
      </c>
      <c r="G38" s="257">
        <v>4.2799999999999998E-2</v>
      </c>
      <c r="H38" s="257">
        <v>4.2799999999999998E-2</v>
      </c>
    </row>
    <row r="39" spans="1:8" x14ac:dyDescent="0.25">
      <c r="F39" s="4" t="s">
        <v>595</v>
      </c>
      <c r="G39" s="257">
        <v>4.3299999999999998E-2</v>
      </c>
      <c r="H39" s="257">
        <v>4.3299999999999998E-2</v>
      </c>
    </row>
    <row r="40" spans="1:8" x14ac:dyDescent="0.25">
      <c r="F40" s="4" t="s">
        <v>596</v>
      </c>
      <c r="G40" s="258">
        <v>1.71</v>
      </c>
      <c r="H40" s="258">
        <v>1.71</v>
      </c>
    </row>
    <row r="41" spans="1:8" x14ac:dyDescent="0.25">
      <c r="F41" s="226" t="s">
        <v>597</v>
      </c>
      <c r="G41" s="260">
        <f>G38+G40*G39</f>
        <v>0.116843</v>
      </c>
      <c r="H41" s="260">
        <f>H38+H40*H39</f>
        <v>0.116843</v>
      </c>
    </row>
    <row r="43" spans="1:8" x14ac:dyDescent="0.25">
      <c r="F43" s="227" t="s">
        <v>598</v>
      </c>
      <c r="G43" s="256"/>
      <c r="H43" s="256"/>
    </row>
    <row r="44" spans="1:8" x14ac:dyDescent="0.25">
      <c r="F44" s="4" t="s">
        <v>599</v>
      </c>
      <c r="G44" s="259">
        <f>-'IS Analysis '!P24/G50</f>
        <v>5.6683645023879785E-2</v>
      </c>
      <c r="H44" s="259">
        <f>-'IS Analysis '!Q24/'BS Analysis '!D71</f>
        <v>4.3007463341821053E-2</v>
      </c>
    </row>
    <row r="45" spans="1:8" x14ac:dyDescent="0.25">
      <c r="F45" s="4" t="s">
        <v>579</v>
      </c>
      <c r="G45" s="259">
        <f>'IS Analysis '!P44</f>
        <v>0.1371313728696785</v>
      </c>
      <c r="H45" s="259">
        <f>'IS Analysis '!P44</f>
        <v>0.1371313728696785</v>
      </c>
    </row>
    <row r="46" spans="1:8" x14ac:dyDescent="0.25">
      <c r="F46" s="226" t="s">
        <v>600</v>
      </c>
      <c r="G46" s="260">
        <f>G44*(1-G45)</f>
        <v>4.8910538962497634E-2</v>
      </c>
      <c r="H46" s="260">
        <f>H44*(1-H45)</f>
        <v>3.710979085011476E-2</v>
      </c>
    </row>
    <row r="48" spans="1:8" x14ac:dyDescent="0.25">
      <c r="F48" s="227" t="s">
        <v>601</v>
      </c>
      <c r="G48" s="256"/>
      <c r="H48" s="256"/>
    </row>
    <row r="49" spans="6:8" x14ac:dyDescent="0.25">
      <c r="F49" s="4" t="s">
        <v>602</v>
      </c>
      <c r="G49" s="261">
        <v>345000</v>
      </c>
      <c r="H49" s="261">
        <v>345000</v>
      </c>
    </row>
    <row r="50" spans="6:8" x14ac:dyDescent="0.25">
      <c r="F50" s="4" t="s">
        <v>603</v>
      </c>
      <c r="G50" s="28">
        <f>G15</f>
        <v>89483.5</v>
      </c>
      <c r="H50" s="28">
        <f>H15</f>
        <v>17083.5</v>
      </c>
    </row>
    <row r="51" spans="6:8" x14ac:dyDescent="0.25">
      <c r="F51" s="4" t="s">
        <v>604</v>
      </c>
      <c r="G51" s="28">
        <f>G49+G50</f>
        <v>434483.5</v>
      </c>
      <c r="H51" s="28">
        <f>H49+H50</f>
        <v>362083.5</v>
      </c>
    </row>
    <row r="52" spans="6:8" x14ac:dyDescent="0.25">
      <c r="F52" s="4" t="s">
        <v>605</v>
      </c>
      <c r="G52" s="259">
        <f>G49/G51</f>
        <v>0.79404626412740642</v>
      </c>
      <c r="H52" s="259">
        <f>H49/H51</f>
        <v>0.95281889398439867</v>
      </c>
    </row>
    <row r="53" spans="6:8" x14ac:dyDescent="0.25">
      <c r="F53" s="4" t="s">
        <v>606</v>
      </c>
      <c r="G53" s="259">
        <f>G50/G51</f>
        <v>0.20595373587259355</v>
      </c>
      <c r="H53" s="259">
        <f>H50/H51</f>
        <v>4.7181106015601375E-2</v>
      </c>
    </row>
    <row r="55" spans="6:8" x14ac:dyDescent="0.25">
      <c r="F55" s="252" t="s">
        <v>607</v>
      </c>
      <c r="G55" s="262">
        <f>(G52*G41)+(G53*G46)</f>
        <v>0.10285205586230699</v>
      </c>
      <c r="H55" s="262">
        <f>(H52*H41)+(H53*H46)</f>
        <v>0.11308109900613515</v>
      </c>
    </row>
    <row r="57" spans="6:8" x14ac:dyDescent="0.25">
      <c r="F57" s="227" t="s">
        <v>608</v>
      </c>
      <c r="G57" s="256"/>
      <c r="H57" s="256"/>
    </row>
    <row r="58" spans="6:8" x14ac:dyDescent="0.25">
      <c r="F58" s="4" t="s">
        <v>609</v>
      </c>
      <c r="G58" s="260">
        <f>C34-G55</f>
        <v>2.3536449728054645E-2</v>
      </c>
      <c r="H58" s="260">
        <f>D34-H55</f>
        <v>0.18714524379622482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WBD BS</vt:lpstr>
      <vt:lpstr>WBD CFS</vt:lpstr>
      <vt:lpstr>NFLX CFS</vt:lpstr>
      <vt:lpstr>WBD IS</vt:lpstr>
      <vt:lpstr>NFLX IS</vt:lpstr>
      <vt:lpstr>Segment Info </vt:lpstr>
      <vt:lpstr>IS Analysis </vt:lpstr>
      <vt:lpstr>BS Analysis </vt:lpstr>
      <vt:lpstr>Ratio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Montoya</dc:creator>
  <cp:lastModifiedBy>Bruno Montoya</cp:lastModifiedBy>
  <dcterms:created xsi:type="dcterms:W3CDTF">2025-12-05T20:54:45Z</dcterms:created>
  <dcterms:modified xsi:type="dcterms:W3CDTF">2026-02-13T19:19:24Z</dcterms:modified>
</cp:coreProperties>
</file>